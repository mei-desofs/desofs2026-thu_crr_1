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diogomartins/Documents/Universidade/Mestrado/1º ano/2º semestre/DESOFS/desofs2026-thu_crr_1/Deliverables/asvs-assessment/"/>
    </mc:Choice>
  </mc:AlternateContent>
  <xr:revisionPtr revIDLastSave="0" documentId="8_{FAF7EEFD-9558-1A4F-99DD-751C9BD56225}" xr6:coauthVersionLast="47" xr6:coauthVersionMax="47" xr10:uidLastSave="{00000000-0000-0000-0000-000000000000}"/>
  <bookViews>
    <workbookView xWindow="0" yWindow="660" windowWidth="30240" windowHeight="18980" tabRatio="500" firstSheet="10" activeTab="15"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D20" i="1"/>
  <c r="E20" i="1" s="1"/>
  <c r="L19" i="1"/>
  <c r="M19" i="1" s="1"/>
  <c r="J19" i="1"/>
  <c r="K19" i="1" s="1"/>
  <c r="G19" i="1"/>
  <c r="H19" i="1" s="1"/>
  <c r="D19" i="1"/>
  <c r="E19" i="1" s="1"/>
  <c r="L18" i="1"/>
  <c r="M18" i="1" s="1"/>
  <c r="J18" i="1"/>
  <c r="K18" i="1" s="1"/>
  <c r="G18" i="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E8" i="1"/>
  <c r="D8" i="1"/>
  <c r="L7" i="1"/>
  <c r="M7" i="1" s="1"/>
  <c r="J7" i="1"/>
  <c r="K7" i="1" s="1"/>
  <c r="G7" i="1"/>
  <c r="H7" i="1" s="1"/>
  <c r="D7" i="1"/>
  <c r="E7" i="1" s="1"/>
  <c r="L6" i="1"/>
  <c r="J6" i="1"/>
  <c r="K6" i="1" s="1"/>
  <c r="G6" i="1"/>
  <c r="H6" i="1" s="1"/>
  <c r="D6" i="1"/>
  <c r="H20" i="1" l="1"/>
  <c r="H18" i="1"/>
  <c r="L23" i="1"/>
  <c r="D23" i="1"/>
  <c r="E6" i="1"/>
  <c r="K23" i="1"/>
  <c r="E23" i="1"/>
  <c r="M6" i="1"/>
  <c r="M23" i="1" s="1"/>
  <c r="G23" i="1"/>
  <c r="J23" i="1"/>
  <c r="H23" i="1" l="1"/>
</calcChain>
</file>

<file path=xl/sharedStrings.xml><?xml version="1.0" encoding="utf-8"?>
<sst xmlns="http://schemas.openxmlformats.org/spreadsheetml/2006/main" count="2328" uniqueCount="1108">
  <si>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</si>
  <si>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</si>
  <si>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</si>
  <si>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</si>
  <si>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</si>
  <si>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</si>
  <si>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</si>
  <si>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</si>
  <si>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</si>
  <si>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</si>
  <si>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</si>
  <si>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</si>
  <si>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</si>
  <si>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</si>
  <si>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</si>
  <si>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</si>
  <si>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</si>
  <si>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</si>
  <si>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</si>
  <si>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</si>
  <si>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</si>
  <si>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</si>
  <si>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</si>
  <si>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</si>
  <si>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</si>
  <si>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</si>
  <si>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</si>
  <si>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</si>
  <si>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</si>
  <si>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</si>
  <si>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</si>
  <si>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</si>
  <si>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</si>
  <si>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</si>
  <si>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</si>
  <si>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</si>
  <si>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</si>
  <si>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</si>
  <si>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</si>
  <si>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</si>
  <si>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</si>
  <si>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</si>
  <si>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</si>
  <si>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</si>
  <si>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</si>
  <si>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Compliant</t>
  </si>
  <si>
    <t>Spring Jackson ObjectMapper configured for consistent JSON handling. Input validation via @Valid annotations in DTOs prevents double-encoding issues. Jackson is configured to handle date serialization consistently.</t>
  </si>
  <si>
    <t>JacksonConfig.java</t>
  </si>
  <si>
    <t>V1.1.2</t>
  </si>
  <si>
    <t>Verify that the application performs output encoding and escaping either as a final step before being used by the interpreter for which it is intended or by the interpreter itself.</t>
  </si>
  <si>
    <t>JPA/Hibernate provides parameterized query handling. All database operations use prepared statements through Spring Data JPA. Entity framework prevents SQL injection at the ORM level.</t>
  </si>
  <si>
    <t>ProductRepository.java / Product.java</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</si>
  <si>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</si>
  <si>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</si>
  <si>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</si>
  <si>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</si>
  <si>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In Progress</t>
  </si>
  <si>
    <t>SecurityConfig.java (L40-47)</t>
  </si>
  <si>
    <t>V1.2.2</t>
  </si>
  <si>
    <t>Verify that when dynamically building URLs, untrusted data is encoded according to its context (e.g., URL encoding or base64url encoding for query or path parameters). Ensure that only safe URL protocols are permitted (e.g., disallow javascript: or data:).</t>
  </si>
  <si>
    <t>The errorDescription parameter received is only concatenated in an error message text string, never used to build dynamic URLs with redirect() or query parameter encoding. Input validation @Valid is applied to incoming DTOs.</t>
  </si>
  <si>
    <t>AuthController.java (L31-45)</t>
  </si>
  <si>
    <t>V1.2.3</t>
  </si>
  <si>
    <t>Verify that output encoding or escaping is used when dynamically building JavaScript content (including JSON), to avoid changing the message or document structure (to avoid JavaScript and JSON injection).</t>
  </si>
  <si>
    <t>The AuthController uses Spring's ResponseEntity with automatic Jackson JSON serialization, which escapes special characters by default. However, the evaluation is only based on this single controller.</t>
  </si>
  <si>
    <t>AuthController.java</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</si>
  <si>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</si>
  <si>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</si>
  <si>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 xml:space="preserve">All queries use Spring Data JPA ORM with parameterized queries and JPQL with @Param binding. No raw SQL or unsafe concatenation found.
</t>
  </si>
  <si>
    <t>UserRepository.java</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</si>
  <si>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</si>
  <si>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</si>
  <si>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</si>
  <si>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</si>
  <si>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</si>
  <si>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</si>
  <si>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Not Applicable</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</si>
  <si>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</si>
  <si>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</si>
  <si>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</si>
  <si>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</si>
  <si>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InviteSignupRequest.java</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</si>
  <si>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</si>
  <si>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</si>
  <si>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</si>
  <si>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</si>
  <si>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</si>
  <si>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</si>
  <si>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</si>
  <si>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</si>
  <si>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Code relies on plain validation annotations and business logic without dynamic expression evaluation.</t>
  </si>
  <si>
    <t>V1.3.3</t>
  </si>
  <si>
    <t>Verify that data being passed to a potentially dangerous context is sanitized beforehand to enforce safety measures, such as only allowing characters which are safe for this context and trimming input which is too long.</t>
  </si>
  <si>
    <t>Input data is sanitized in potentially dangerous contexts (logging).</t>
  </si>
  <si>
    <t>AuthAuditLogger.java (L47-56)</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</si>
  <si>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</si>
  <si>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</si>
  <si>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</si>
  <si>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</si>
  <si>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</si>
  <si>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</si>
  <si>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SupabaseAuthClient.java (L20-26)</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</si>
  <si>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</si>
  <si>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</si>
  <si>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</si>
  <si>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</si>
  <si>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</si>
  <si>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</si>
  <si>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</si>
  <si>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</si>
  <si>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Caffeine stores Java objects directly in memory within the JVM, no memcache protocol or network serialization involved.</t>
  </si>
  <si>
    <t>BucketManager.java</t>
  </si>
  <si>
    <t>V1.3.11</t>
  </si>
  <si>
    <t>Verify that the application sanitizes user input before passing to mail systems to protect against SMTP or IMAP injection.</t>
  </si>
  <si>
    <t>Application does not use JavaMailSender, MimeMessage, or any mail sending libraries.</t>
  </si>
  <si>
    <t>V1.3.12</t>
  </si>
  <si>
    <t>Verify that regular expressions are free from elements causing exponential backtracking, and ensure untrusted input is sanitized to mitigate ReDoS or Runaway Regex attacks.</t>
  </si>
  <si>
    <t>All regular expressions use simple, safe patterns without exponential backtracking risk.</t>
  </si>
  <si>
    <t>BackupServiceImpl.java (L23)</t>
  </si>
  <si>
    <t>V1.4</t>
  </si>
  <si>
    <t>Memory, String, and Unmanaged Code</t>
  </si>
  <si>
    <t>V1.4.1</t>
  </si>
  <si>
    <t>Verify that the application uses memory-safe string, safer memory copy and pointer arithmetic to detect or prevent stack, buffer, or heap overflows.</t>
  </si>
  <si>
    <t xml:space="preserve">Application is pure Java running on Spring Boot 4.0.6 with JVM. Java provides automatic memory management, garbage collection, and bounds checking. No unsafe operations, native code (JNI), or direct memory access (Unsafe, ByteBuffer, malloc equivalents) detected. Buffer/heap/stack overflow protection is inherent to the JVM runtime.
</t>
  </si>
  <si>
    <t>V1.4.2</t>
  </si>
  <si>
    <t>Verify that sign, range, and input validation techniques are used to prevent integer overflows.</t>
  </si>
  <si>
    <t>All numeric values use input validation with @DecimalMin, @DecimalMax, and @Size constraints. Monetary calculations use BigDecimal (arbitrary precision, no overflow risk). String lengths are validated with @Size annotations. No primitive integer arithmetic operations detected. Integer fields (Quantity) use @DecimalMin validation. All array access is bounds-checked via list methods.</t>
  </si>
  <si>
    <t>Money.java (L16)</t>
  </si>
  <si>
    <t>V1.4.3</t>
  </si>
  <si>
    <t>Verify that dynamically allocated memory and resources are released, and that references or pointers to freed memory are removed or set to null to prevent dangling pointers and use-after-free vulnerabilities.</t>
  </si>
  <si>
    <t>Application is pure Java with automatic garbage collection.</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</si>
  <si>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</si>
  <si>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</si>
  <si>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</si>
  <si>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</si>
  <si>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</si>
  <si>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</si>
  <si>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Application uses Jackson ObjectMapper for JSON deserialization without dangerous polymorphic type features.</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</si>
  <si>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</si>
  <si>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</si>
  <si>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Application uses JSON exclusively via Jackson ObjectMapper for all data parsing with explicit UTF-8 encoding where applicable.</t>
  </si>
  <si>
    <t>BackupServiceImpl.java (L148) - Explicit StandardCharsets.UTF_8 usage</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</si>
  <si>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</si>
  <si>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</si>
  <si>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</si>
  <si>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</si>
  <si>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secure_design.md</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</si>
  <si>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</si>
  <si>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</si>
  <si>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</si>
  <si>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</si>
  <si>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Report.pdf</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</si>
  <si>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</si>
  <si>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</si>
  <si>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</si>
  <si>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</si>
  <si>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Nif.java</t>
  </si>
  <si>
    <t>V2.2.2</t>
  </si>
  <si>
    <t>Verify that the application is designed to enforce input validation at a trusted service layer. While client-side validation improves usability and should be encouraged, it must not be relied upon as a security control.</t>
  </si>
  <si>
    <t>Input validation is enforced at trusted server-side layers independently of any client-side validation. All HTTP requests validate via @Valid on @RequestBody DTOs containing Jakarta validation annotations (@NotBlank, @Size, @Pattern, @DecimalMin/Max, @Email). Service layer (AuthServiceImpl, BackupServiceImpl, UserServiceImpl, CategoryServiceImpl) applies additional business logic validation and throws exceptions. Domain layer validates at construction time via Value Objects (EmailAddress, Money, Nif, Quantity, Address, CategoryName).</t>
  </si>
  <si>
    <t>V2.2.3</t>
  </si>
  <si>
    <t>Verify that the application ensures that combinations of related data items are reasonable according to the pre-defined rules.</t>
  </si>
  <si>
    <t>Address value object validates postal code, city, country, and street together ensuring logical coherence and Portuguese address format (XXXX-XXX pattern).</t>
  </si>
  <si>
    <t>Address.java</t>
  </si>
  <si>
    <t>V2.3</t>
  </si>
  <si>
    <t>Business Logic Security</t>
  </si>
  <si>
    <t>V2.3.1</t>
  </si>
  <si>
    <t>Verify that the application will only process business logic flows for the same user in the expected sequential step order and without skipping steps.</t>
  </si>
  <si>
    <t>AuthServiceImpl.java - Validates email_confirmed_at state transition, preventing step skipping</t>
  </si>
  <si>
    <t>V2.3.2</t>
  </si>
  <si>
    <t>Verify that business logic limits are implemented per the application's documentation to avoid business logic flaws being exploited.</t>
  </si>
  <si>
    <t>Application implements rate limiting business logic via Bucket4j in accordance with security requirements SR7.</t>
  </si>
  <si>
    <t>ratelimit.yaml</t>
  </si>
  <si>
    <t>V2.3.3</t>
  </si>
  <si>
    <t>Verify that transactions are being used at the business logic level such that either a business logic operation succeeds in its entirety or it is rolled back to the previous correct state.</t>
  </si>
  <si>
    <t>Need to add @Transactional</t>
  </si>
  <si>
    <t>V2.3.4</t>
  </si>
  <si>
    <t>Verify that business logic level locking mechanisms are used to ensure that limited quantity resources (such as theater seats or delivery slots) cannot be double-booked by manipulating the application's logic.</t>
  </si>
  <si>
    <t>Need to add @Version on domain</t>
  </si>
  <si>
    <t>Customer.java</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</si>
  <si>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</si>
  <si>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</si>
  <si>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</si>
  <si>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</si>
  <si>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</si>
  <si>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</si>
  <si>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Application implements anti-automation controls via rate limiting.</t>
  </si>
  <si>
    <t>AuthController.java (L33)</t>
  </si>
  <si>
    <t>V2.4.2</t>
  </si>
  <si>
    <t>Verify that business logic flows require realistic human timing, preventing excessively rapid transaction submissions.</t>
  </si>
  <si>
    <t>Application implements partial timing controls via rate limiting (Bucket4j)</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</si>
  <si>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</si>
  <si>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</si>
  <si>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</si>
  <si>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</si>
  <si>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Not Started</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</si>
  <si>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</si>
  <si>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</si>
  <si>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</si>
  <si>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</si>
  <si>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</si>
  <si>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</si>
  <si>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</si>
  <si>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</si>
  <si>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</si>
  <si>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</si>
  <si>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</si>
  <si>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</si>
  <si>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</si>
  <si>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</si>
  <si>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</si>
  <si>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</si>
  <si>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</si>
  <si>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</si>
  <si>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</si>
  <si>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</si>
  <si>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</si>
  <si>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</si>
  <si>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</si>
  <si>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</si>
  <si>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</si>
  <si>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</si>
  <si>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</si>
  <si>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</si>
  <si>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</si>
  <si>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</si>
  <si>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</si>
  <si>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</si>
  <si>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</si>
  <si>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</si>
  <si>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</si>
  <si>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</si>
  <si>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</si>
  <si>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</si>
  <si>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</si>
  <si>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</si>
  <si>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</si>
  <si>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</si>
  <si>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</si>
  <si>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</si>
  <si>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</si>
  <si>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</si>
  <si>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</si>
  <si>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</si>
  <si>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</si>
  <si>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</si>
  <si>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</si>
  <si>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</si>
  <si>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</si>
  <si>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</si>
  <si>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</si>
  <si>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</si>
  <si>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</si>
  <si>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</si>
  <si>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</si>
  <si>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</si>
  <si>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</si>
  <si>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</si>
  <si>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</si>
  <si>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</si>
  <si>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</si>
  <si>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</si>
  <si>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</si>
  <si>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</si>
  <si>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</si>
  <si>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</si>
  <si>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</si>
  <si>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</si>
  <si>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</si>
  <si>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</si>
  <si>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</si>
  <si>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</si>
  <si>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Application implements Content-Type header support for all HTTP responses with message bodies.</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</si>
  <si>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</si>
  <si>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</si>
  <si>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</si>
  <si>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</si>
  <si>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Application currently does not read intermediary-layer HTTP headers (X-Real-IP, X-Forwarded-*, X-User-ID) and has no trusted proxy configuration. Reads directly from the request.getRemoteAddr()</t>
  </si>
  <si>
    <t>V4.1.4</t>
  </si>
  <si>
    <t>Verify that only HTTP methods that are explicitly supported by the application or its API (including OPTIONS during preflight requests) can be used and that unused methods are blocked.</t>
  </si>
  <si>
    <t>We need to block unused HTTP methods</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</si>
  <si>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</si>
  <si>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</si>
  <si>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</si>
  <si>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</si>
  <si>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</si>
  <si>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</si>
  <si>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Application delegates HTTP message boundary handling to Apache Tomcat 11.0.22 embedded servlet container, which implements RFC 2616-compliant message parsing and HTTP request smuggling prevention by default.</t>
  </si>
  <si>
    <t>pom.xml (L31)</t>
  </si>
  <si>
    <t>V4.2.2</t>
  </si>
  <si>
    <t>Verify that when generating HTTP messages, the Content-Length header field does not conflict with the length of the content as determined by the framing of the HTTP protocol, in order to prevent request smuggling attacks.</t>
  </si>
  <si>
    <t>Application generates HTTP responses primarily through Spring's ResponseEntity mechanism for all controller endpoints, which properly manages Content-Length and Content-Type headers via the servlet container.</t>
  </si>
  <si>
    <t>V4.2.3</t>
  </si>
  <si>
    <t>Verify that the application does not send nor accept HTTP/2 or HTTP/3 messages with connection-specific header fields such as Transfer-Encoding to prevent response splitting and header injection attacks.</t>
  </si>
  <si>
    <t>Application does not send HTTP/2 or HTTP/3 messages with connection-specific header fields, and does not explicitly process or accept such headers. Tomcat 11.0.22 embedded servlet container (Java 17 with ALPN support) enforces RFC 7540 HTTP/2 compliance at the protocol layer, which automatically rejects connection-specific headers.</t>
  </si>
  <si>
    <t>V4.2.4</t>
  </si>
  <si>
    <t>Verify that the application only accepts HTTP/2 and HTTP/3 requests where the header fields and values do not contain any CR (\r), LF (\n), or CRLF (\r\n) sequences, to prevent header injection attacks.</t>
  </si>
  <si>
    <t>Application runs on Tomcat 11.0.22 with HTTP/2 support, which inherently prevents header fields containing CR (\r), LF (\n), or CRLF (\r\n) sequences through binary frame encoding.</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</si>
  <si>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</si>
  <si>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</si>
  <si>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 xml:space="preserve">Application lacks explicit validation and size limits for HTTP request headers and cookies that could be generated or transmitted during authentication and API operations. While some input validation exists for business data (product names, descriptions), critical authentication-related fields have gaps.
</t>
  </si>
  <si>
    <t>V4.3</t>
  </si>
  <si>
    <t>GraphQL</t>
  </si>
  <si>
    <t>V4.3.1</t>
  </si>
  <si>
    <t>Verify that a query allowlist, depth limiting, amount limiting, or query cost analysis is used to prevent GraphQL or data layer expression Denial of Service (DoS) as a result of expensive, nested queries.</t>
  </si>
  <si>
    <t>Application does not use GraphQL.</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</si>
  <si>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</si>
  <si>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</si>
  <si>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</si>
  <si>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</si>
  <si>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</si>
  <si>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</si>
  <si>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Application does not implement WebSocket functionality.</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</si>
  <si>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</si>
  <si>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</si>
  <si>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</si>
  <si>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</si>
  <si>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</si>
  <si>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</si>
  <si>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</si>
  <si>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</si>
  <si>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</si>
  <si>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</si>
  <si>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 xml:space="preserve">Later, you will be able to upload product images.
</t>
  </si>
  <si>
    <t>V5.2</t>
  </si>
  <si>
    <t>File Upload and Content</t>
  </si>
  <si>
    <t>V5.2.1</t>
  </si>
  <si>
    <t>Verify that the application will only accept files of a size which it can process without causing a loss of performance or a denial of service attack.</t>
  </si>
  <si>
    <t>Later, you will be able to upload product images.</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</si>
  <si>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</si>
  <si>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</si>
  <si>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</si>
  <si>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</si>
  <si>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No support for compressed uploads</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</si>
  <si>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</si>
  <si>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</si>
  <si>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</si>
  <si>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</si>
  <si>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</si>
  <si>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</si>
  <si>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</si>
  <si>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</si>
  <si>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</si>
  <si>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</si>
  <si>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When adding image uploads: store them outside the webroot, never in an executable directory.</t>
  </si>
  <si>
    <t>BackupServiceImpl.java</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</si>
  <si>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</si>
  <si>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</si>
  <si>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The backup uses internally generated names.</t>
  </si>
  <si>
    <t>V5.3.3</t>
  </si>
  <si>
    <t>Verify that server-side file processing, such as file decompression, ignores user-provided path information to prevent vulnerabilities such as zip slip.</t>
  </si>
  <si>
    <t>No decompression of files</t>
  </si>
  <si>
    <t>V5.4</t>
  </si>
  <si>
    <t>File Download</t>
  </si>
  <si>
    <t>V5.4.1</t>
  </si>
  <si>
    <t>Verify that the application validates or ignores user-submitted filenames, including in a JSON, JSONP, or URL parameter and specifies a filename in the Content-Disposition header field in the response.</t>
  </si>
  <si>
    <t>No user-uploaded file downloads</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</si>
  <si>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</si>
  <si>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</si>
  <si>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</si>
  <si>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</si>
  <si>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</si>
  <si>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</si>
  <si>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</si>
  <si>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</si>
  <si>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Document more about this</t>
  </si>
  <si>
    <t>V6.1.2</t>
  </si>
  <si>
    <t>Verify that a list of context-specific words is documented in order to prevent their use in passwords. The list could include permutations of organization names, product names, system identifiers, project codenames, department or role names, and similar.</t>
  </si>
  <si>
    <t>Create a list and then validate in PasswordUtils</t>
  </si>
  <si>
    <t>V6.1.3</t>
  </si>
  <si>
    <t>Verify that, if the application includes multiple authentication pathways, these are all documented together with the security controls and authentication strength which must be consistently enforced across them.</t>
  </si>
  <si>
    <t>First Delivery</t>
  </si>
  <si>
    <t>Entry points documentation (entry-points.md)</t>
  </si>
  <si>
    <t>V6.2</t>
  </si>
  <si>
    <t>Password Security</t>
  </si>
  <si>
    <t>V6.2.1</t>
  </si>
  <si>
    <t>Verify that user set passwords are at least 8 characters in length although a minimum of 15 characters is strongly recommended.</t>
  </si>
  <si>
    <t>Also done in supabase</t>
  </si>
  <si>
    <t>PasswordUtils.java</t>
  </si>
  <si>
    <t>V6.2.2</t>
  </si>
  <si>
    <t>Verify that users can change their password.</t>
  </si>
  <si>
    <t>V6.2.3</t>
  </si>
  <si>
    <t>Verify that password change functionality requires the user's current and new password.</t>
  </si>
  <si>
    <t>AuthController.java and AuthServiceImpl.java</t>
  </si>
  <si>
    <t>V6.2.4</t>
  </si>
  <si>
    <t>Verify that passwords submitted during account registration or password change are checked against an available set of, at least, the top 3000 passwords which match the application's password policy, e.g. minimum length.</t>
  </si>
  <si>
    <t>Validate passwords on the frontend/backend against common lists</t>
  </si>
  <si>
    <t>V6.2.5</t>
  </si>
  <si>
    <t>Verify that passwords of any composition can be used, without rules limiting the type of characters permitted. There must be no requirement for a minimum number of upper or lower case characters, numbers, or special characters.</t>
  </si>
  <si>
    <t>Remove limitation in PasswordUtils</t>
  </si>
  <si>
    <t>V6.2.6</t>
  </si>
  <si>
    <t>Verify that password input fields use type=password to mask the entry. Applications may allow the user to temporarily view the entire masked password, or the last typed character of the password.</t>
  </si>
  <si>
    <t xml:space="preserve">Doing this on the frontend
</t>
  </si>
  <si>
    <t>V6.2.7</t>
  </si>
  <si>
    <t>Verify that "paste" functionality, browser password helpers, and external password managers are permitted.</t>
  </si>
  <si>
    <t>Frontend / Supabase standard behavior</t>
  </si>
  <si>
    <t>V6.2.8</t>
  </si>
  <si>
    <t>Verify that the application verifies the user's password exactly as received from the user, without any modifications such as truncation or case transformation.</t>
  </si>
  <si>
    <t>AuthController.java, AuthServiceImpl.java and SupabaseAuthClient.java</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</si>
  <si>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</si>
  <si>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</si>
  <si>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</si>
  <si>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</si>
  <si>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Supabase default </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</si>
  <si>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</si>
  <si>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</si>
  <si>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</si>
  <si>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</si>
  <si>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Use of API do Have I Been Pwned (HIBP)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</si>
  <si>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</si>
  <si>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</si>
  <si>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</si>
  <si>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</si>
  <si>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</si>
  <si>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</si>
  <si>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Without default accounts</t>
  </si>
  <si>
    <t>Supabase</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</si>
  <si>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</si>
  <si>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</si>
  <si>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</si>
  <si>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</si>
  <si>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Consistency needs to be verified, but it is documented</t>
  </si>
  <si>
    <t>AuthController.java and entry-points.md</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</si>
  <si>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</si>
  <si>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</si>
  <si>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Without notifications by email</t>
  </si>
  <si>
    <t>V6.3.6</t>
  </si>
  <si>
    <t>Verify that email is not used as either a single-factor or multi-factor authentication mechanism.</t>
  </si>
  <si>
    <t>We have email-only login</t>
  </si>
  <si>
    <t>V6.3.7</t>
  </si>
  <si>
    <t>Verify that users are notified after updates to authentication details, such as credential resets or modification of the username or email address.</t>
  </si>
  <si>
    <t>Without notifications</t>
  </si>
  <si>
    <t>V6.3.8</t>
  </si>
  <si>
    <t>Verify that valid users cannot be deduced from failed authentication challenges, such as by basing on error messages, HTTP response codes, or different response times. Registration and forgot password functionality must also have this protection.</t>
  </si>
  <si>
    <t>SupabaseAuthClient.java and ExceptionToSafeResponseMapper</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</si>
  <si>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</si>
  <si>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</si>
  <si>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</si>
  <si>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</si>
  <si>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Supabase generates secure one-time codes</t>
  </si>
  <si>
    <t>V6.4.2</t>
  </si>
  <si>
    <t>Verify that password hints or knowledge-based authentication (so-called "secret questions") are not present.</t>
  </si>
  <si>
    <t>No secret questions implemented</t>
  </si>
  <si>
    <t>V6.4.3</t>
  </si>
  <si>
    <t>Verify that a secure process for resetting a forgotten password is implemented, that does not bypass any enabled multi-factor authentication mechanisms.</t>
  </si>
  <si>
    <t>Implement MFA</t>
  </si>
  <si>
    <t>reset password endpoint in AuthController.java</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</si>
  <si>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</si>
  <si>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</si>
  <si>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</si>
  <si>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</si>
  <si>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No pre-expiration notifications</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</si>
  <si>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</si>
  <si>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</si>
  <si>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</si>
  <si>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</si>
  <si>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</si>
  <si>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</si>
  <si>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</si>
  <si>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</si>
  <si>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</si>
  <si>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</si>
  <si>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</si>
  <si>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</si>
  <si>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</si>
  <si>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</si>
  <si>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</si>
  <si>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</si>
  <si>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</si>
  <si>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</si>
  <si>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</si>
  <si>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</si>
  <si>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</si>
  <si>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</si>
  <si>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</si>
  <si>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</si>
  <si>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</si>
  <si>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</si>
  <si>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</si>
  <si>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</si>
  <si>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</si>
  <si>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</si>
  <si>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</si>
  <si>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</si>
  <si>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</si>
  <si>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</si>
  <si>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JWTAuthFilter.java (JWTs verified via JWKS endpoint)</t>
  </si>
  <si>
    <t>V6.7.2</t>
  </si>
  <si>
    <t>Verify that the challenge nonce is at least 64 bits in length, and statistically unique or unique over the lifetime of the cryptographic device.</t>
  </si>
  <si>
    <t>add nonce/jti for replay protection</t>
  </si>
  <si>
    <t>JWTAuthFilter.java</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</si>
  <si>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</si>
  <si>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</si>
  <si>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</si>
  <si>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</si>
  <si>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Single IdP (Supabase)</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</si>
  <si>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</si>
  <si>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</si>
  <si>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</si>
  <si>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</si>
  <si>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The system uses JWT, not SAML</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</si>
  <si>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</si>
  <si>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</si>
  <si>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Single IdP, no acr/amr validation</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</si>
  <si>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</si>
  <si>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</si>
  <si>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</si>
  <si>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</si>
  <si>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session-management-policy.md</t>
  </si>
  <si>
    <t>V7.1.2</t>
  </si>
  <si>
    <t>Verify that the documentation defines how many concurrent (parallel) sessions are allowed for one account as well as the intended behaviors and actions to be taken when the maximum number of active sessions is reached.</t>
  </si>
  <si>
    <t>In this case, the application has no session limits</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</si>
  <si>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</si>
  <si>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</si>
  <si>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Needs document more</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</si>
  <si>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</si>
  <si>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</si>
  <si>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</si>
  <si>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</si>
  <si>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</si>
  <si>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</si>
  <si>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Supabase generate news by default</t>
  </si>
  <si>
    <t>V7.2.3</t>
  </si>
  <si>
    <t>Verify that if reference tokens are used to represent user sessions, they are unique and generated using a cryptographically secure pseudo-random number generator (CSPRNG) and possess at least 128 bits of entropy.</t>
  </si>
  <si>
    <t>It uses  self-contained JWT tokens, not reference tokens.</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</si>
  <si>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</si>
  <si>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</si>
  <si>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</si>
  <si>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</si>
  <si>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</si>
  <si>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</si>
  <si>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CookiesHelper.java, AuthServiceImpl.java (login)</t>
  </si>
  <si>
    <t>V7.3.2</t>
  </si>
  <si>
    <t>Verify that there is an absolute maximum session lifetime such that re-authentication is enforced according to risk analysis and documented security decisions.</t>
  </si>
  <si>
    <t>CookiesHelper.java</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</si>
  <si>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</si>
  <si>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</si>
  <si>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</si>
  <si>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</si>
  <si>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AuthController.java (logout endpoint), AuthServiceImpl.java (logout method) and CookiesHelper (clearAuthCookies method)</t>
  </si>
  <si>
    <t>V7.4.2</t>
  </si>
  <si>
    <t>Verify that the application terminates all active sessions when a user account is disabled or deleted (such as an employee leaving the company).</t>
  </si>
  <si>
    <t>We don't have this functionality in our system</t>
  </si>
  <si>
    <t>V7.4.3</t>
  </si>
  <si>
    <t>Verify that the application gives the option to terminate all other active sessions after a successful change or removal of any authentication factor (including password change via reset or recovery and, if present, an MFA settings update).</t>
  </si>
  <si>
    <t xml:space="preserve">It is necessary to revoke other active tokens.
</t>
  </si>
  <si>
    <t>V7.4.4</t>
  </si>
  <si>
    <t>Verify that all pages that require authentication have easy and visible access to logout functionality.</t>
  </si>
  <si>
    <t>Frontend</t>
  </si>
  <si>
    <t>V7.4.5</t>
  </si>
  <si>
    <t>Verify that application administrators are able to terminate active sessions for an individual user or for all users.</t>
  </si>
  <si>
    <t xml:space="preserve">A new endpoint implementation is required.
</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</si>
  <si>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</si>
  <si>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</si>
  <si>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</si>
  <si>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</si>
  <si>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</si>
  <si>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</si>
  <si>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New endpoints need to be implemented</t>
  </si>
  <si>
    <t>V7.5.3</t>
  </si>
  <si>
    <t>Verify that the application requires further authentication with at least one factor or secondary verification before performing highly sensitive transactions or operations.</t>
  </si>
  <si>
    <t>We don't have any "highly sensitive transactions" defined</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</si>
  <si>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</si>
  <si>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</si>
  <si>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</si>
  <si>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</si>
  <si>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</si>
  <si>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</si>
  <si>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</si>
  <si>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</si>
  <si>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</si>
  <si>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</si>
  <si>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</si>
  <si>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</si>
  <si>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</si>
  <si>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</si>
  <si>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</si>
  <si>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</si>
  <si>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</si>
  <si>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</si>
  <si>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</si>
  <si>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</si>
  <si>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</si>
  <si>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</si>
  <si>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</si>
  <si>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</si>
  <si>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</si>
  <si>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</si>
  <si>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</si>
  <si>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</si>
  <si>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</si>
  <si>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</si>
  <si>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</si>
  <si>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</si>
  <si>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</si>
  <si>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</si>
  <si>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</si>
  <si>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</si>
  <si>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</si>
  <si>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</si>
  <si>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</si>
  <si>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</si>
  <si>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</si>
  <si>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</si>
  <si>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</si>
  <si>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</si>
  <si>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The signature is verified using HMAC-SHA with the Supabase secret key (Keys.hmacShaKeyFor())</t>
  </si>
  <si>
    <t>JWTAuthFilter.java (L47-51)</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</si>
  <si>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</si>
  <si>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</si>
  <si>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</si>
  <si>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</si>
  <si>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This project uses Supabase as an external Identity Provider and does not issue its own JWTs.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</si>
  <si>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</si>
  <si>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</si>
  <si>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</si>
  <si>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</si>
  <si>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JWTAuthFilter.java (L71-77)</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</si>
  <si>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</si>
  <si>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</si>
  <si>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The application validates JWT signature, issuer, audience, and expiration through NimbusJwtDecoder. Access tokens are used for authorization decisions while refresh tokens are handled separately in the refresh endpoint. However, there is no explicit validation of token type or purpose claims</t>
  </si>
  <si>
    <t>V9.2.3</t>
  </si>
  <si>
    <t>Verify that the service only accepts tokens which are intended for use with that service (audience). For JWTs, this can be achieved by validating the 'aud' claim against an allowlist defined in the service.</t>
  </si>
  <si>
    <t>The application validates the JWT aud claim using a custom OAuth2TokenValidator and only accepts tokens containing the configured audience value from SUPABASE_JWT_AUDIENCE. Tokens with unexpected audiences are rejected before authentication is established.</t>
  </si>
  <si>
    <t>JWTAuthFilter (L30 - L45)</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</si>
  <si>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</si>
  <si>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</si>
  <si>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The application enforces audience validation on all JWTs through the configured decoder and validator chain. This prevents tokens issued for different audiences from being accepted by the service, mitigating token replay across services sharing the same signing keys.</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</si>
  <si>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</si>
  <si>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</si>
  <si>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</si>
  <si>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</si>
  <si>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Token handling is partially aligned with a backend-for-frontend pattern using HttpOnly cookies for some flows, but still allows token access via Authorization headers and does not enforce strict backend-only token consumption across all endpoints, meaning tokens are not fully restricted to backend</t>
  </si>
  <si>
    <t>AuthController.java (L78-85)</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</si>
  <si>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</si>
  <si>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</si>
  <si>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The system does not use OAuth authorization code flow or browser-based redirects. Authentication is handled via password and refresh token grants with Supabase, so state, nonce, and PKCE mechanisms are not applicable.</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</si>
  <si>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</si>
  <si>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</si>
  <si>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</si>
  <si>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</si>
  <si>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No OAuth authorization code flow is used, so PKCE and state-based CSRF protections are not required. The application uses stateless JWT authentication and explicitly disables CSRF in Spring Security.</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</si>
  <si>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</si>
  <si>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</si>
  <si>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</si>
  <si>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</si>
  <si>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</si>
  <si>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</si>
  <si>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</si>
  <si>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</si>
  <si>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The resource server validates JWT tokens using issuer and audience checks. The aud claim is explicitly validated against a configured allowlist, ensuring only tokens intended for this service are accepted.</t>
  </si>
  <si>
    <t>JWTAuthFilter (L20 - L45)</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</si>
  <si>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</si>
  <si>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</si>
  <si>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</si>
  <si>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</si>
  <si>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User identity is derived from the JWT sub claim issued by a single trusted issuer (Supabase). The issuer is validated via Spring Security JWT validation, ensuring the sub cannot be spoofed across different issuers.</t>
  </si>
  <si>
    <t>JWTAuthFilter (L20 - L35)</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</si>
  <si>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</si>
  <si>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</si>
  <si>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The application does not use OIDC authentication strength claims such as acr, amr, or auth_time. Supabase JWTs do not expose or enforce these attributes in this implementation.</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</si>
  <si>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</si>
  <si>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</si>
  <si>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</si>
  <si>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</si>
  <si>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</si>
  <si>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</si>
  <si>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The system uses bearer JWT tokens issued by Supabase. Sender-constrained mechanisms (DPoP or mTLS) are not part of the authentication model and are not supported by the identity provider used.</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</si>
  <si>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</si>
  <si>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</si>
  <si>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The application does not use OAuth authorization code flow. Authentication is handled via Supabase password and refresh token grants, so authorization codes are not issued or processed.</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</si>
  <si>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</si>
  <si>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</si>
  <si>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</si>
  <si>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</si>
  <si>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The system uses password grant (grant_type=password) and refresh token grant via Supabase. While this is externally managed by the identity provider, these legacy grant types are still in use, and no explicit control exists in the backend to restrict or evolve supported grant types.</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</si>
  <si>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</si>
  <si>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</si>
  <si>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Refresh tokens are handled by Supabase. The application stores and forwards refresh tokens but does not implement explicit refresh token rotation validation, reuse detection, or server-side revocation tracking. Token lifecycle enforcement is delegated to the identity provider.</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</si>
  <si>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</si>
  <si>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</si>
  <si>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The system does not use authorization code flow or PKCE. Authentication is handled via direct token-based login with Supabase.</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</si>
  <si>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</si>
  <si>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</si>
  <si>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Authorization server dynamic client registration is not implemented or managed at application level; client registration, metadata validation (including redirect URIs), and user consent flows are fully handled by Supabase-managed authentication services, with no support for unauthenticated dynamic client registration in the backend</t>
  </si>
  <si>
    <t>V10.4.8</t>
  </si>
  <si>
    <t>Verify that refresh tokens have an absolute expiration, including if sliding refresh token expiration is applied.</t>
  </si>
  <si>
    <t>Refresh token expiration is enforced by Supabase. The application does not independently validate absolute or sliding expiration policies.</t>
  </si>
  <si>
    <t>V10.4.9</t>
  </si>
  <si>
    <t>Verify that refresh tokens and reference access tokens can be revoked by an authorized user using the authorization server user interface, to mitigate the risk of malicious clients or stolen tokens.</t>
  </si>
  <si>
    <t>Token revocation and session management are handled by Supabase as the external authorization server.</t>
  </si>
  <si>
    <t>SupabaseAuthClient (L218 - L230)</t>
  </si>
  <si>
    <t>V10.4.10</t>
  </si>
  <si>
    <t>Verify that confidential client is authenticated for client-to-authorized server backchannel requests such as token requests, pushed authorization requests (PAR), and token revocation requests.</t>
  </si>
  <si>
    <t>The application does not act as an OAuth confidential client performing backchannel requests such as PAR, token introspection, or revocation at the authorization server level. These operations are fully handled by Supabase.</t>
  </si>
  <si>
    <t>V10.4.11</t>
  </si>
  <si>
    <t>Verify that the authorization server configuration only assigns the required scopes to the OAuth client.</t>
  </si>
  <si>
    <t>Scope assignment and enforcement are managed by Supabase. The application does not configure or request OAuth scopes, as authentication is based on password and refresh token grants without explicit scope negotiation.</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</si>
  <si>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</si>
  <si>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</si>
  <si>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The system does not use OAuth authorization code flow or response_mode parameters. Authentication is handled via direct token issuance from Supabase.</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</si>
  <si>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</si>
  <si>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</si>
  <si>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</si>
  <si>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</si>
  <si>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</si>
  <si>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</si>
  <si>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</si>
  <si>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</si>
  <si>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</si>
  <si>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</si>
  <si>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</si>
  <si>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</si>
  <si>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The application does not implement OpenID Connect ID Token flow. Authentication is based on Supabase-issued access tokens, and no nonce parameter or ID Token validation is performed by the client.</t>
  </si>
  <si>
    <t>V10.5.2</t>
  </si>
  <si>
    <t>Verify that the client uniquely identifies the user from ID Token claims, usually the 'sub' claim, which cannot be reassigned to other users (for the scope of an identity provider).</t>
  </si>
  <si>
    <t>The system uniquely identifies users using the sub claim from validated JWTs issued by Supabase. This claim is used as the stable user identifier in authentication and authorization decisions.</t>
  </si>
  <si>
    <t>JWTAuthFilter (L45 - L65)</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</si>
  <si>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</si>
  <si>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</si>
  <si>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The JWT validation explicitly enforces a fixed trusted issuer (supabase.issuer). Tokens are rejected if the issuer does not match the configured value, preventing acceptance of tokens from unauthorized or spoofed issuers.</t>
  </si>
  <si>
    <t>JWTAuthFilter (L20 - L40)</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</si>
  <si>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</si>
  <si>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</si>
  <si>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</si>
  <si>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</si>
  <si>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</si>
  <si>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</si>
  <si>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</si>
  <si>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</si>
  <si>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The system does not implement OpenID Connect authorization code, implicit, or hybrid flows. Authentication is handled via password and refresh token grant types from Supabase.</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</si>
  <si>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</si>
  <si>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</si>
  <si>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</si>
  <si>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</si>
  <si>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</si>
  <si>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</si>
  <si>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</si>
  <si>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</si>
  <si>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User consent presentation, including requested scopes, application identity, and authorization details, is fully handled by the external OpenID Connect provider (Supabase)</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</si>
  <si>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</si>
  <si>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</si>
  <si>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</si>
  <si>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</si>
  <si>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</si>
  <si>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</si>
  <si>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 xml:space="preserve"> cryptographic operations rely on external managed services (Supabase JWT signing and TLS infrastructure), and no internal key lifecycle management or key distribution mechanisms are maintained by the backend</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</si>
  <si>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</si>
  <si>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</si>
  <si>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</si>
  <si>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</si>
  <si>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cryptographic usage is implicit via frameworks and external providers (Spring Security bcrypt hashing, TLS infrastructure, and Supabase JWT handling)</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</si>
  <si>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</si>
  <si>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</si>
  <si>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</si>
  <si>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</si>
  <si>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</si>
  <si>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</si>
  <si>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Cryptographic operations use industry-validated implementations, including TLS provided by the Java runtime and infrastructure layer, bcrypt for password hashing, and JWT handling via Supabase authentication services, all of which rely on well-established and widely adopted cryptographic libraries rather than custom implementations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</si>
  <si>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</si>
  <si>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</si>
  <si>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</si>
  <si>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</si>
  <si>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All cryptographic primitives used in the application meet or exceed a minimum of 128-bit security, relying on TLS 1.2+ for transport encryption, bcrypt for password hashing (configured with strong cost factor), and Supabase-managed JWT signing using modern cryptographic algorithms with adequate key strength, ensuring industry-standard security levels across all cryptographic operations</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</si>
  <si>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</si>
  <si>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</si>
  <si>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</si>
  <si>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</si>
  <si>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</si>
  <si>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</si>
  <si>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</si>
  <si>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</si>
  <si>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all cryptographic operations rely on industry-standard frameworks and managed services (TLS stack, Spring Security, bcrypt, and Supabase JWT handling)</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</si>
  <si>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</si>
  <si>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</si>
  <si>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</si>
  <si>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</si>
  <si>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</si>
  <si>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</si>
  <si>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</si>
  <si>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</si>
  <si>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</si>
  <si>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</si>
  <si>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</si>
  <si>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</si>
  <si>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Only approved cryptographic hash functions and algorithms are used in the application, relying on bcrypt for password hashing and standard cryptographic primitives provided by TLS 1.2+ and Supabase-managed JWT infrastructure;</t>
  </si>
  <si>
    <t>JWTAuthFIlter (L29-32)</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</si>
  <si>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</si>
  <si>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</si>
  <si>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</si>
  <si>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</si>
  <si>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</si>
  <si>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</si>
  <si>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</si>
  <si>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</si>
  <si>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</si>
  <si>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</si>
  <si>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</si>
  <si>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</si>
  <si>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The application does not implement custom cryptographic random number generation. Token generation, session identifiers, and cryptographic randomness are managed externally by Supabase and underlying platform libraries.</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</si>
  <si>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</si>
  <si>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</si>
  <si>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</si>
  <si>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</si>
  <si>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No application-managed random number generation mechanisms are implemented for cryptographic purposes. Randomness generation is delegated to external authentication and platform components.</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</si>
  <si>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</si>
  <si>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</si>
  <si>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</si>
  <si>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</si>
  <si>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</si>
  <si>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</si>
  <si>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The system relies on standard application-layer protections (TLS for data in transit, bcrypt for password storage, and encrypted storage at rest via infrastructure services)</t>
  </si>
  <si>
    <t>V11.7.2</t>
  </si>
  <si>
    <t>Verify that data minimization ensures the minimal amount of data is exposed during processing, and ensure that data is encrypted immediately after use or as soon as feasible.</t>
  </si>
  <si>
    <t>The application applies basic data minimization principles through RBAC, input validation, and limited exposure of sensitive fields in API responses; however, there is no explicit architectural enforcement of systematic data minimization policies or automated mechanisms to ensure that sensitive data is encrypted immediately after processing</t>
  </si>
  <si>
    <t>V12.1</t>
  </si>
  <si>
    <t>General TLS Security Guidance</t>
  </si>
  <si>
    <t>V12.1.1</t>
  </si>
  <si>
    <t>Verify that only the latest recommended versions of the TLS protocol are enabled, such as TLS 1.2 and TLS 1.3. The latest version of the TLS protocol must be the preferred option.</t>
  </si>
  <si>
    <t>SecurityConfig.java (L20-45)</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</si>
  <si>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</si>
  <si>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</si>
  <si>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</si>
  <si>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</si>
  <si>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The application does not implement mutual TLS (mTLS) and does not perform client certificate-based authentication or authorization; all authentication is handled via JWT-based authentication through an external identity provider (Supabase), while TLS is used only for server authentication and encrypted transport</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</si>
  <si>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</si>
  <si>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</si>
  <si>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</si>
  <si>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</si>
  <si>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The application stack uses Nginx as a reverse proxy for TLS termination</t>
  </si>
  <si>
    <t>V12.2</t>
  </si>
  <si>
    <t>HTTPS Communication with External Facing Services</t>
  </si>
  <si>
    <t>V12.2.1</t>
  </si>
  <si>
    <t>Verify that TLS is used for all connectivity between a client and external facing, HTTP-based services, and does not fall back to insecure or unencrypted communications.</t>
  </si>
  <si>
    <t>All client communication with external-facing HTTP-based services is enforced over HTTPS via Nginx as a reverse prox</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</si>
  <si>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</si>
  <si>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</si>
  <si>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</si>
  <si>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</si>
  <si>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</si>
  <si>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</si>
  <si>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</si>
  <si>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</si>
  <si>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All outbound TLS connections from the application rely on standard, trusted TLS client implementations provided by the Java runtime (JVM) and managed service SDKs, which perform full certificate chain validation against trusted Certificate Authorities (CA) before establishing communication with external TLS servers such as Supabase, SMTP providers, and PostgreSQ</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</si>
  <si>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</si>
  <si>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</si>
  <si>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</si>
  <si>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</si>
  <si>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The application does not implement TLS connections between internal services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</si>
  <si>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</si>
  <si>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</si>
  <si>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</si>
  <si>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</si>
  <si>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</si>
  <si>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</si>
  <si>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External dependencies are listed, but the inventory is not yet complete.</t>
  </si>
  <si>
    <t>external_dependencies.md</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</si>
  <si>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</si>
  <si>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</si>
  <si>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</si>
  <si>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</si>
  <si>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</si>
  <si>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</si>
  <si>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</si>
  <si>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</si>
  <si>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</si>
  <si>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</si>
  <si>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</si>
  <si>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</si>
  <si>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</si>
  <si>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</si>
  <si>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</si>
  <si>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</si>
  <si>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</si>
  <si>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</si>
  <si>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</si>
  <si>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</si>
  <si>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</si>
  <si>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</si>
  <si>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</si>
  <si>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</si>
  <si>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Secrets come from environment variables, but there is no vault or HSM-backed management.</t>
  </si>
  <si>
    <t>application.yaml</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</si>
  <si>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</si>
  <si>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</si>
  <si>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</si>
  <si>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</si>
  <si>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</si>
  <si>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</si>
  <si>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</si>
  <si>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</si>
  <si>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</si>
  <si>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</si>
  <si>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</si>
  <si>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</si>
  <si>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Production hardening is partial because show-sql is still enabled.</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</si>
  <si>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</si>
  <si>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</si>
  <si>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</si>
  <si>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</si>
  <si>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</si>
  <si>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</si>
  <si>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Swagger and actuator health are intentionally exposed, but the surface is not fully inventoried.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</si>
  <si>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</si>
  <si>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</si>
  <si>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</si>
  <si>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</si>
  <si>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</si>
  <si>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</si>
  <si>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</si>
  <si>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</si>
  <si>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Sensitive data is handled in auth flows, but there is no formal protection-level classification.</t>
  </si>
  <si>
    <t>AuthServiceImpl.java</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</si>
  <si>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</si>
  <si>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</si>
  <si>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</si>
  <si>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</si>
  <si>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</si>
  <si>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</si>
  <si>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</si>
  <si>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</si>
  <si>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</si>
  <si>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</si>
  <si>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</si>
  <si>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</si>
  <si>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Audit logging masks email, but some exception paths still emit raw messages.</t>
  </si>
  <si>
    <t>AuthAuditLogger.java</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</si>
  <si>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</si>
  <si>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</si>
  <si>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</si>
  <si>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</si>
  <si>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Several endpoints already return narrow DTOs, but not all response paths were reviewed.</t>
  </si>
  <si>
    <t>ProductController.java</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</si>
  <si>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</si>
  <si>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</si>
  <si>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</si>
  <si>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</si>
  <si>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No user-submitted file upload flow in project.</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</si>
  <si>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</si>
  <si>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</si>
  <si>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</si>
  <si>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</si>
  <si>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Logout clears auth cookies, but there is no Clear-Site-Data header.</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</si>
  <si>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</si>
  <si>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</si>
  <si>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</si>
  <si>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</si>
  <si>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Sensitive auth state is kept in HttpOnly cookies, not browser storage.</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</si>
  <si>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</si>
  <si>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</si>
  <si>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</si>
  <si>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</si>
  <si>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</si>
  <si>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</si>
  <si>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Dependencies are documented and pinned, but no SBOM file was found.</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</si>
  <si>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</si>
  <si>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</si>
  <si>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</si>
  <si>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</si>
  <si>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</si>
  <si>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</si>
  <si>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</si>
  <si>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</si>
  <si>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</si>
  <si>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</si>
  <si>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CI/CD workflows perform automated dependency and container vulnerability scanning.</t>
  </si>
  <si>
    <t>dependencies-analysis.yaml, container-security.yml</t>
  </si>
  <si>
    <t>V15.2.2</t>
  </si>
  <si>
    <t>Verify that the application has implemented defenses against loss of availability due to functionality which is time-consuming or resource-demanding, based on the documented security decisions and strategies for this.</t>
  </si>
  <si>
    <t>Availability protections include rate limiting and scheduled/asynchronous backup processing.</t>
  </si>
  <si>
    <t>ratelimit.yml</t>
  </si>
  <si>
    <t>V15.2.3</t>
  </si>
  <si>
    <t>Verify that the production environment only includes functionality that is required for the application to function, and does not expose extraneous functionality such as test code, sample snippets, and development functionality.</t>
  </si>
  <si>
    <t>Production deployments use dedicated build and container workflows to reduce unnecessary functionality exposure.</t>
  </si>
  <si>
    <t>deploy.yml, docker.yml</t>
  </si>
  <si>
    <t>V15.2.4</t>
  </si>
  <si>
    <t>Verify that third-party components and all of their transitive dependencies are included from the expected repository, whether internally owned or an external source, and that there is no risk of a dependency confusion attack.</t>
  </si>
  <si>
    <t>Dependencies are version-pinned and resolved through trusted repositories and automated checks.</t>
  </si>
  <si>
    <t>dependencies-analysis.yaml, build-test.yml, pom.xml</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</si>
  <si>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</si>
  <si>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</si>
  <si>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Containerization and automated security scanning provide additional isolation and protection controls.</t>
  </si>
  <si>
    <t>container-security.yml, docker.yml,deploy.yml</t>
  </si>
  <si>
    <t>V15.3</t>
  </si>
  <si>
    <t>Defensive Coding</t>
  </si>
  <si>
    <t>V15.3.1</t>
  </si>
  <si>
    <t>Verify that the application only returns the required subset of fields from a data object. For example, it should not return an entire data object, as some individual fields should not be accessible to users.</t>
  </si>
  <si>
    <t>Controllers return DTOs instead of entities in many places.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</si>
  <si>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</si>
  <si>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</si>
  <si>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</si>
  <si>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</si>
  <si>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Request DTOs constrain inputs, but mass-assignment coverage is not documented end-to-end.</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</si>
  <si>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</si>
  <si>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</si>
  <si>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</si>
  <si>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</si>
  <si>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</si>
  <si>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</si>
  <si>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No JavaScript application code uses object literals for this concern.</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</si>
  <si>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</si>
  <si>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</si>
  <si>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</si>
  <si>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</si>
  <si>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</si>
  <si>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</si>
  <si>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Rate limiting uses Caffeine-backed bucket storage, but broader concurrency review is incomplete.</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</si>
  <si>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</si>
  <si>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</si>
  <si>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</si>
  <si>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</si>
  <si>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</si>
  <si>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</si>
  <si>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</si>
  <si>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</si>
  <si>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</si>
  <si>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</si>
  <si>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Logging outputs are configured, but no formal log inventory exists.</t>
  </si>
  <si>
    <t>logback-spring.xml</t>
  </si>
  <si>
    <t>V16.2</t>
  </si>
  <si>
    <t>General Logging</t>
  </si>
  <si>
    <t>V16.2.1</t>
  </si>
  <si>
    <t>Verify that each log entry includes necessary metadata (such as when, where, who, what) that would allow for a detailed investigation of the timeline when an event happens.</t>
  </si>
  <si>
    <t>Audit events include event, status, IP, UA, and timestamp.</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</si>
  <si>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</si>
  <si>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</si>
  <si>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Audit timestamps use Instant-based timestamps.</t>
  </si>
  <si>
    <t>V16.2.3</t>
  </si>
  <si>
    <t>Verify that the application only stores or broadcasts logs to the files and services that are documented in the log inventory.</t>
  </si>
  <si>
    <t>Log destinations are defined, but the inventory is incomplete.</t>
  </si>
  <si>
    <t>V16.2.4</t>
  </si>
  <si>
    <t>Verify that logs can be read and correlated by the log processor that is in use, preferably by using a common logging format.</t>
  </si>
  <si>
    <t>Logs use a common structured format across appenders.</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</si>
  <si>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</si>
  <si>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</si>
  <si>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Emails are masked, but some exception logs still leak raw messages.</t>
  </si>
  <si>
    <t>GlobalExceptionHandler.java</t>
  </si>
  <si>
    <t>V16.3</t>
  </si>
  <si>
    <t>Security Events</t>
  </si>
  <si>
    <t>V16.3.1</t>
  </si>
  <si>
    <t>Verify that all authentication operations are logged, including successful and unsuccessful attempts. Additional metadata, such as the type of authentication or factors used, should also be collected.</t>
  </si>
  <si>
    <t>Login, register, logout, refresh and password events are logged.</t>
  </si>
  <si>
    <t>V16.3.2</t>
  </si>
  <si>
    <t>Verify that failed authorization attempts are logged. For L3, this must include logging all authorization decisions, including logging when sensitive data is accessed (without logging the sensitive data itself).</t>
  </si>
  <si>
    <t>Access-denied and auth failures are logged.</t>
  </si>
  <si>
    <t>V16.3.3</t>
  </si>
  <si>
    <t>Verify that the application logs the security events that are defined in the documentation and also logs attempts to bypass the security controls, such as input validation, business logic, and anti-automation.</t>
  </si>
  <si>
    <t>Rate-limit and abuse logs exist, but coverage is not complete.</t>
  </si>
  <si>
    <t>RateLimitInterceptor.java</t>
  </si>
  <si>
    <t>V16.3.4</t>
  </si>
  <si>
    <t>Verify that the application logs unexpected errors and security control failures such as backend TLS failures.</t>
  </si>
  <si>
    <t>Unexpected errors are captured by the global handler.</t>
  </si>
  <si>
    <t>V16.4</t>
  </si>
  <si>
    <t>Log Protection</t>
  </si>
  <si>
    <t>V16.4.1</t>
  </si>
  <si>
    <t>Verify that all logging components appropriately encode data to prevent log injection.</t>
  </si>
  <si>
    <t>Input is sanitised before audit logging.</t>
  </si>
  <si>
    <t>V16.4.2</t>
  </si>
  <si>
    <t>Verify that logs are protected from unauthorized access and cannot be modified.</t>
  </si>
  <si>
    <t>No file-permission or tamper-control configuration was found.</t>
  </si>
  <si>
    <t>V16.4.3</t>
  </si>
  <si>
    <t>Verify that logs are securely transmitted to a logically separate system for analysis, detection, alerting, and escalation. The aim is to ensure that if the application is breached, the logs are not compromised.</t>
  </si>
  <si>
    <t>Syslog is configured as a separate logging target.</t>
  </si>
  <si>
    <t>docker-compose.yml</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</si>
  <si>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</si>
  <si>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</si>
  <si>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</si>
  <si>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</si>
  <si>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Generic responses exist, but some branches still leak detail.</t>
  </si>
  <si>
    <t>V16.5.2</t>
  </si>
  <si>
    <t>Verify that the application continues to operate securely when external resource access fails, for example, by using patterns such as circuit breakers or graceful degradation.</t>
  </si>
  <si>
    <t>Logout tolerates token-revocation failures gracefully.</t>
  </si>
  <si>
    <t>V16.5.3</t>
  </si>
  <si>
    <t>Verify that the application fails gracefully and securely, including when an exception occurs, preventing fail-open conditions such as processing a transaction despite errors resulting from validation logic.</t>
  </si>
  <si>
    <t>Handlers fail closed on validation and auth errors, but review is incomplete.</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</si>
  <si>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</si>
  <si>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</si>
  <si>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A catch-all exception handler is present.</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</si>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</sst>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
      <sz val="10"/>
      <color rgb="FF000000"/>
      <name val="Arial Unicode MS"/>
      <family val="2"/>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0" fillId="0" borderId="0" xfId="0" applyFont="1"/>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0.375</c:v>
                </c:pt>
                <c:pt idx="1">
                  <c:v>1</c:v>
                </c:pt>
                <c:pt idx="2">
                  <c:v>0</c:v>
                </c:pt>
                <c:pt idx="3">
                  <c:v>0.5</c:v>
                </c:pt>
                <c:pt idx="4">
                  <c:v>0.25</c:v>
                </c:pt>
                <c:pt idx="5">
                  <c:v>0.53846153846153844</c:v>
                </c:pt>
                <c:pt idx="6">
                  <c:v>0.66666666666666663</c:v>
                </c:pt>
                <c:pt idx="7">
                  <c:v>0.75</c:v>
                </c:pt>
                <c:pt idx="8">
                  <c:v>0.5</c:v>
                </c:pt>
                <c:pt idx="9">
                  <c:v>0</c:v>
                </c:pt>
                <c:pt idx="10">
                  <c:v>1</c:v>
                </c:pt>
                <c:pt idx="11">
                  <c:v>1</c:v>
                </c:pt>
                <c:pt idx="12">
                  <c:v>0</c:v>
                </c:pt>
                <c:pt idx="13">
                  <c:v>0</c:v>
                </c:pt>
                <c:pt idx="14">
                  <c:v>0.33333333333333331</c:v>
                </c:pt>
                <c:pt idx="15" formatCode="General">
                  <c:v>0</c:v>
                </c:pt>
                <c:pt idx="16" formatCode="General">
                  <c:v>0</c:v>
                </c:pt>
              </c:numCache>
            </c:numRef>
          </c:val>
          <c:extLst>
            <c:ext xmlns:c16="http://schemas.microsoft.com/office/drawing/2014/chart" uri="{C3380CC4-5D6E-409C-BE32-E72D297353CC}">
              <c16:uniqueId val="{00000000-B9E7-4154-8B48-81F44A28E231}"/>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0.42105263157894735</c:v>
                </c:pt>
                <c:pt idx="1">
                  <c:v>0.5714285714285714</c:v>
                </c:pt>
                <c:pt idx="2">
                  <c:v>0</c:v>
                </c:pt>
                <c:pt idx="3">
                  <c:v>0.125</c:v>
                </c:pt>
                <c:pt idx="4">
                  <c:v>0</c:v>
                </c:pt>
                <c:pt idx="5">
                  <c:v>0.22727272727272727</c:v>
                </c:pt>
                <c:pt idx="6">
                  <c:v>0.58333333333333337</c:v>
                </c:pt>
                <c:pt idx="7">
                  <c:v>0.33333333333333331</c:v>
                </c:pt>
                <c:pt idx="8">
                  <c:v>0.66666666666666663</c:v>
                </c:pt>
                <c:pt idx="9">
                  <c:v>0.45833333333333331</c:v>
                </c:pt>
                <c:pt idx="10">
                  <c:v>1</c:v>
                </c:pt>
                <c:pt idx="11">
                  <c:v>0.66666666666666663</c:v>
                </c:pt>
                <c:pt idx="12">
                  <c:v>0</c:v>
                </c:pt>
                <c:pt idx="13">
                  <c:v>0.14285714285714285</c:v>
                </c:pt>
                <c:pt idx="14">
                  <c:v>0.2</c:v>
                </c:pt>
                <c:pt idx="15">
                  <c:v>0.5625</c:v>
                </c:pt>
                <c:pt idx="16">
                  <c:v>0</c:v>
                </c:pt>
              </c:numCache>
            </c:numRef>
          </c:val>
          <c:extLst>
            <c:ext xmlns:c16="http://schemas.microsoft.com/office/drawing/2014/chart" uri="{C3380CC4-5D6E-409C-BE32-E72D297353CC}">
              <c16:uniqueId val="{00000001-B9E7-4154-8B48-81F44A28E231}"/>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0.66666666666666663</c:v>
                </c:pt>
                <c:pt idx="1">
                  <c:v>0</c:v>
                </c:pt>
                <c:pt idx="2">
                  <c:v>0</c:v>
                </c:pt>
                <c:pt idx="3">
                  <c:v>0.5</c:v>
                </c:pt>
                <c:pt idx="4">
                  <c:v>0</c:v>
                </c:pt>
                <c:pt idx="5">
                  <c:v>0.25</c:v>
                </c:pt>
                <c:pt idx="6">
                  <c:v>0</c:v>
                </c:pt>
                <c:pt idx="7">
                  <c:v>0.16666666666666666</c:v>
                </c:pt>
                <c:pt idx="8" formatCode="General">
                  <c:v>0</c:v>
                </c:pt>
                <c:pt idx="9">
                  <c:v>0</c:v>
                </c:pt>
                <c:pt idx="10">
                  <c:v>0.8</c:v>
                </c:pt>
                <c:pt idx="11">
                  <c:v>0.66666666666666663</c:v>
                </c:pt>
                <c:pt idx="12">
                  <c:v>0</c:v>
                </c:pt>
                <c:pt idx="13">
                  <c:v>0</c:v>
                </c:pt>
                <c:pt idx="14">
                  <c:v>0.25</c:v>
                </c:pt>
                <c:pt idx="15">
                  <c:v>1</c:v>
                </c:pt>
              </c:numCache>
            </c:numRef>
          </c:val>
          <c:extLst>
            <c:ext xmlns:c16="http://schemas.microsoft.com/office/drawing/2014/chart" uri="{C3380CC4-5D6E-409C-BE32-E72D297353CC}">
              <c16:uniqueId val="{00000002-B9E7-4154-8B48-81F44A28E231}"/>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0.43333333333333335</c:v>
                </c:pt>
                <c:pt idx="1">
                  <c:v>0.61538461538461542</c:v>
                </c:pt>
                <c:pt idx="2">
                  <c:v>0</c:v>
                </c:pt>
                <c:pt idx="3">
                  <c:v>0.3125</c:v>
                </c:pt>
                <c:pt idx="4">
                  <c:v>7.6923076923076927E-2</c:v>
                </c:pt>
                <c:pt idx="5">
                  <c:v>0.31914893617021278</c:v>
                </c:pt>
                <c:pt idx="6">
                  <c:v>0.57894736842105265</c:v>
                </c:pt>
                <c:pt idx="7">
                  <c:v>0.38461538461538464</c:v>
                </c:pt>
                <c:pt idx="8">
                  <c:v>0.5714285714285714</c:v>
                </c:pt>
                <c:pt idx="9">
                  <c:v>0.30555555555555558</c:v>
                </c:pt>
                <c:pt idx="10">
                  <c:v>0.91666666666666663</c:v>
                </c:pt>
                <c:pt idx="11">
                  <c:v>0.75</c:v>
                </c:pt>
                <c:pt idx="12">
                  <c:v>0</c:v>
                </c:pt>
                <c:pt idx="13">
                  <c:v>7.6923076923076927E-2</c:v>
                </c:pt>
                <c:pt idx="14">
                  <c:v>0.23809523809523808</c:v>
                </c:pt>
                <c:pt idx="15">
                  <c:v>0.58823529411764708</c:v>
                </c:pt>
                <c:pt idx="16">
                  <c:v>0</c:v>
                </c:pt>
              </c:numCache>
            </c:numRef>
          </c:val>
          <c:extLst>
            <c:ext xmlns:c16="http://schemas.microsoft.com/office/drawing/2014/chart" uri="{C3380CC4-5D6E-409C-BE32-E72D297353CC}">
              <c16:uniqueId val="{00000003-B9E7-4154-8B48-81F44A28E231}"/>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3445</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vscode-file://vscode-app/c:/Users/PC/AppData/Local/Programs/Microsoft%20VS%20Code/0958016b2a/resources/app/out/vs/code/electron-browser/workbench/workbench.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115" zoomScaleNormal="75" workbookViewId="0">
      <selection activeCell="M21" sqref="M21"/>
    </sheetView>
  </sheetViews>
  <sheetFormatPr baseColWidth="10" defaultColWidth="8.5" defaultRowHeight="15" x14ac:dyDescent="0.2"/>
  <cols>
    <col min="1" max="1" width="34" customWidth="1"/>
    <col min="2" max="13" width="11" customWidth="1"/>
  </cols>
  <sheetData>
    <row r="1" spans="1:16" ht="36" customHeight="1" x14ac:dyDescent="0.2">
      <c r="A1" s="25" t="s">
        <v>0</v>
      </c>
      <c r="B1" s="25"/>
      <c r="C1" s="25"/>
      <c r="D1" s="25"/>
      <c r="E1" s="25"/>
      <c r="F1" s="25"/>
      <c r="G1" s="25"/>
      <c r="H1" s="25"/>
      <c r="I1" s="25"/>
      <c r="J1" s="25"/>
      <c r="K1" s="25"/>
      <c r="L1" s="25"/>
      <c r="M1" s="25"/>
      <c r="N1" s="25"/>
      <c r="O1" s="25"/>
      <c r="P1" s="25"/>
    </row>
    <row r="2" spans="1:16" ht="20" customHeight="1" x14ac:dyDescent="0.2">
      <c r="A2" s="26"/>
      <c r="B2" s="26"/>
      <c r="C2" s="26"/>
      <c r="D2" s="26"/>
      <c r="E2" s="26"/>
      <c r="F2" s="26"/>
      <c r="G2" s="26"/>
      <c r="H2" s="26"/>
      <c r="I2" s="26"/>
      <c r="J2" s="26"/>
      <c r="K2" s="26"/>
      <c r="L2" s="26"/>
      <c r="M2" s="26"/>
      <c r="N2" s="26"/>
      <c r="O2" s="26"/>
      <c r="P2" s="26"/>
    </row>
    <row r="3" spans="1:16" ht="18" customHeight="1" x14ac:dyDescent="0.2">
      <c r="A3" s="27"/>
      <c r="B3" s="27"/>
      <c r="C3" s="1"/>
      <c r="E3" s="1"/>
      <c r="G3" s="1"/>
      <c r="I3" s="1"/>
      <c r="K3" s="1"/>
      <c r="M3" s="1"/>
      <c r="O3" s="1"/>
    </row>
    <row r="5" spans="1:16" ht="32" customHeight="1" x14ac:dyDescent="0.2">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2">
      <c r="A6" s="3" t="s">
        <v>14</v>
      </c>
      <c r="B6" s="4">
        <v>30</v>
      </c>
      <c r="C6" s="4">
        <v>8</v>
      </c>
      <c r="D6" s="4">
        <f>COUNTIFS('V1 - Encoding and Sanitization'!$F$2:$F$36,"Compliant",'V1 - Encoding and Sanitization'!$E$2:$E$36,1)</f>
        <v>3</v>
      </c>
      <c r="E6" s="5">
        <f t="shared" ref="E6:E20" si="0">IF(C6=0,"",D6/C6)</f>
        <v>0.375</v>
      </c>
      <c r="F6" s="4">
        <v>19</v>
      </c>
      <c r="G6" s="4">
        <f>COUNTIFS('V1 - Encoding and Sanitization'!$F$2:$F$36,"Compliant",'V1 - Encoding and Sanitization'!$E$2:$E$36,2)</f>
        <v>8</v>
      </c>
      <c r="H6" s="5">
        <f t="shared" ref="H6:H22" si="1">IF(F6=0,"",G6/F6)</f>
        <v>0.42105263157894735</v>
      </c>
      <c r="I6" s="4">
        <v>3</v>
      </c>
      <c r="J6" s="4">
        <f>COUNTIFS('V1 - Encoding and Sanitization'!$F$2:$F$36,"Compliant",'V1 - Encoding and Sanitization'!$E$2:$E$36,3)</f>
        <v>2</v>
      </c>
      <c r="K6" s="5">
        <f t="shared" ref="K6:K13" si="2">IF(I6=0,"",J6/I6)</f>
        <v>0.66666666666666663</v>
      </c>
      <c r="L6" s="4">
        <f>COUNTIF('V1 - Encoding and Sanitization'!$F$2:$F$36,"Compliant")</f>
        <v>13</v>
      </c>
      <c r="M6" s="5">
        <f t="shared" ref="M6:M22" si="3">IF(B6=0,"",L6/B6)</f>
        <v>0.43333333333333335</v>
      </c>
    </row>
    <row r="7" spans="1:16" ht="18" customHeight="1" x14ac:dyDescent="0.2">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4</v>
      </c>
      <c r="H7" s="8">
        <f t="shared" si="1"/>
        <v>0.5714285714285714</v>
      </c>
      <c r="I7" s="7">
        <v>2</v>
      </c>
      <c r="J7" s="7">
        <f>COUNTIFS('V2 - Validation and Business Lo'!$F$2:$F$18,"Compliant",'V2 - Validation and Business Lo'!$E$2:$E$18,3)</f>
        <v>0</v>
      </c>
      <c r="K7" s="8">
        <f t="shared" si="2"/>
        <v>0</v>
      </c>
      <c r="L7" s="7">
        <f>COUNTIF('V2 - Validation and Business Lo'!$F$2:$F$18,"Compliant")</f>
        <v>8</v>
      </c>
      <c r="M7" s="8">
        <f t="shared" si="3"/>
        <v>0.61538461538461542</v>
      </c>
    </row>
    <row r="8" spans="1:16" ht="18" customHeight="1" x14ac:dyDescent="0.2">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2">
      <c r="A9" s="6" t="s">
        <v>17</v>
      </c>
      <c r="B9" s="7">
        <v>16</v>
      </c>
      <c r="C9" s="7">
        <v>2</v>
      </c>
      <c r="D9" s="7">
        <f>COUNTIFS('V4 - API and Web Service'!$F$2:$F$21,"Compliant",'V4 - API and Web Service'!$E$2:$E$21,1)</f>
        <v>1</v>
      </c>
      <c r="E9" s="8">
        <f t="shared" si="0"/>
        <v>0.5</v>
      </c>
      <c r="F9" s="7">
        <v>8</v>
      </c>
      <c r="G9" s="7">
        <f>COUNTIFS('V4 - API and Web Service'!$F$2:$F$21,"Compliant",'V4 - API and Web Service'!$E$2:$E$21,2)</f>
        <v>1</v>
      </c>
      <c r="H9" s="8">
        <f t="shared" si="1"/>
        <v>0.125</v>
      </c>
      <c r="I9" s="7">
        <v>6</v>
      </c>
      <c r="J9" s="7">
        <f>COUNTIFS('V4 - API and Web Service'!$F$2:$F$21,"Compliant",'V4 - API and Web Service'!$E$2:$E$21,3)</f>
        <v>3</v>
      </c>
      <c r="K9" s="8">
        <f t="shared" si="2"/>
        <v>0.5</v>
      </c>
      <c r="L9" s="7">
        <f>COUNTIF('V4 - API and Web Service'!$F$2:$F$21,"Compliant")</f>
        <v>5</v>
      </c>
      <c r="M9" s="8">
        <f t="shared" si="3"/>
        <v>0.3125</v>
      </c>
    </row>
    <row r="10" spans="1:16" ht="18" customHeight="1" x14ac:dyDescent="0.2">
      <c r="A10" s="3" t="s">
        <v>18</v>
      </c>
      <c r="B10" s="4">
        <v>13</v>
      </c>
      <c r="C10" s="4">
        <v>4</v>
      </c>
      <c r="D10" s="4">
        <f>COUNTIFS('V5 - File Handling'!$F$2:$F$18,"Compliant",'V5 - File Handling'!$E$2:$E$18,1)</f>
        <v>1</v>
      </c>
      <c r="E10" s="5">
        <f t="shared" si="0"/>
        <v>0.25</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1</v>
      </c>
      <c r="M10" s="5">
        <f t="shared" si="3"/>
        <v>7.6923076923076927E-2</v>
      </c>
    </row>
    <row r="11" spans="1:16" ht="18" customHeight="1" x14ac:dyDescent="0.2">
      <c r="A11" s="6" t="s">
        <v>19</v>
      </c>
      <c r="B11" s="7">
        <v>47</v>
      </c>
      <c r="C11" s="7">
        <v>13</v>
      </c>
      <c r="D11" s="7">
        <f>COUNTIFS('V6 - Authentication'!$F$2:$F$56,"Compliant",'V6 - Authentication'!$E$2:$E$56,1)</f>
        <v>7</v>
      </c>
      <c r="E11" s="8">
        <f t="shared" si="0"/>
        <v>0.53846153846153844</v>
      </c>
      <c r="F11" s="7">
        <v>22</v>
      </c>
      <c r="G11" s="7">
        <f>COUNTIFS('V6 - Authentication'!$F$2:$F$56,"Compliant",'V6 - Authentication'!$E$2:$E$56,2)</f>
        <v>5</v>
      </c>
      <c r="H11" s="8">
        <f t="shared" si="1"/>
        <v>0.22727272727272727</v>
      </c>
      <c r="I11" s="7">
        <v>12</v>
      </c>
      <c r="J11" s="7">
        <f>COUNTIFS('V6 - Authentication'!$F$2:$F$56,"Compliant",'V6 - Authentication'!$E$2:$E$56,3)</f>
        <v>3</v>
      </c>
      <c r="K11" s="8">
        <f t="shared" si="2"/>
        <v>0.25</v>
      </c>
      <c r="L11" s="7">
        <f>COUNTIF('V6 - Authentication'!$F$2:$F$56,"Compliant")</f>
        <v>15</v>
      </c>
      <c r="M11" s="8">
        <f t="shared" si="3"/>
        <v>0.31914893617021278</v>
      </c>
    </row>
    <row r="12" spans="1:16" ht="18" customHeight="1" x14ac:dyDescent="0.2">
      <c r="A12" s="3" t="s">
        <v>20</v>
      </c>
      <c r="B12" s="4">
        <v>19</v>
      </c>
      <c r="C12" s="4">
        <v>6</v>
      </c>
      <c r="D12" s="4">
        <f>COUNTIFS('V7 - Session Management'!$F$2:$F$26,"Compliant",'V7 - Session Management'!$E$2:$E$26,1)</f>
        <v>4</v>
      </c>
      <c r="E12" s="5">
        <f t="shared" si="0"/>
        <v>0.66666666666666663</v>
      </c>
      <c r="F12" s="4">
        <v>12</v>
      </c>
      <c r="G12" s="4">
        <f>COUNTIFS('V7 - Session Management'!$F$2:$F$26,"Compliant",'V7 - Session Management'!$E$2:$E$26,2)</f>
        <v>7</v>
      </c>
      <c r="H12" s="5">
        <f t="shared" si="1"/>
        <v>0.58333333333333337</v>
      </c>
      <c r="I12" s="4">
        <v>1</v>
      </c>
      <c r="J12" s="4">
        <f>COUNTIFS('V7 - Session Management'!$F$2:$F$26,"Compliant",'V7 - Session Management'!$E$2:$E$26,3)</f>
        <v>0</v>
      </c>
      <c r="K12" s="5">
        <f t="shared" si="2"/>
        <v>0</v>
      </c>
      <c r="L12" s="4">
        <f>COUNTIF('V7 - Session Management'!$F$2:$F$26,"Compliant")</f>
        <v>11</v>
      </c>
      <c r="M12" s="5">
        <f t="shared" si="3"/>
        <v>0.57894736842105265</v>
      </c>
    </row>
    <row r="13" spans="1:16" ht="18" customHeight="1" x14ac:dyDescent="0.2">
      <c r="A13" s="6" t="s">
        <v>21</v>
      </c>
      <c r="B13" s="7">
        <v>13</v>
      </c>
      <c r="C13" s="7">
        <v>4</v>
      </c>
      <c r="D13" s="7">
        <f>COUNTIFS('V8 - Authorization'!$F$2:$F$18,"Compliant",'V8 - Authorization'!$E$2:$E$18,1)</f>
        <v>3</v>
      </c>
      <c r="E13" s="8">
        <f t="shared" si="0"/>
        <v>0.75</v>
      </c>
      <c r="F13" s="7">
        <v>3</v>
      </c>
      <c r="G13" s="7">
        <f>COUNTIFS('V8 - Authorization'!$F$2:$F$18,"Compliant",'V8 - Authorization'!$E$2:$E$18,2)</f>
        <v>1</v>
      </c>
      <c r="H13" s="8">
        <f t="shared" si="1"/>
        <v>0.33333333333333331</v>
      </c>
      <c r="I13" s="7">
        <v>6</v>
      </c>
      <c r="J13" s="7">
        <f>COUNTIFS('V8 - Authorization'!$F$2:$F$18,"Compliant",'V8 - Authorization'!$E$2:$E$18,3)</f>
        <v>1</v>
      </c>
      <c r="K13" s="8">
        <f t="shared" si="2"/>
        <v>0.16666666666666666</v>
      </c>
      <c r="L13" s="7">
        <f>COUNTIF('V8 - Authorization'!$F$2:$F$18,"Compliant")</f>
        <v>5</v>
      </c>
      <c r="M13" s="8">
        <f t="shared" si="3"/>
        <v>0.38461538461538464</v>
      </c>
    </row>
    <row r="14" spans="1:16" ht="18" customHeight="1" x14ac:dyDescent="0.2">
      <c r="A14" s="3" t="s">
        <v>22</v>
      </c>
      <c r="B14" s="4">
        <v>7</v>
      </c>
      <c r="C14" s="4">
        <v>4</v>
      </c>
      <c r="D14" s="4">
        <f>COUNTIFS('V9 - Self-contained Tokens'!$F$2:$F$10,"Compliant",'V9 - Self-contained Tokens'!$E$2:$E$10,1)</f>
        <v>2</v>
      </c>
      <c r="E14" s="5">
        <f t="shared" si="0"/>
        <v>0.5</v>
      </c>
      <c r="F14" s="4">
        <v>3</v>
      </c>
      <c r="G14" s="4">
        <f>COUNTIFS('V9 - Self-contained Tokens'!$F$2:$F$10,"Compliant",'V9 - Self-contained Tokens'!$E$2:$E$10,2)</f>
        <v>2</v>
      </c>
      <c r="H14" s="5">
        <f t="shared" si="1"/>
        <v>0.66666666666666663</v>
      </c>
      <c r="I14" s="4">
        <v>0</v>
      </c>
      <c r="J14" s="4" t="s">
        <v>23</v>
      </c>
      <c r="K14" s="4" t="s">
        <v>23</v>
      </c>
      <c r="L14" s="4">
        <f>COUNTIF('V9 - Self-contained Tokens'!$F$2:$F$10,"Compliant")</f>
        <v>4</v>
      </c>
      <c r="M14" s="5">
        <f t="shared" si="3"/>
        <v>0.5714285714285714</v>
      </c>
    </row>
    <row r="15" spans="1:16" ht="18" customHeight="1" x14ac:dyDescent="0.2">
      <c r="A15" s="6" t="s">
        <v>24</v>
      </c>
      <c r="B15" s="7">
        <v>36</v>
      </c>
      <c r="C15" s="7">
        <v>5</v>
      </c>
      <c r="D15" s="7">
        <f>COUNTIFS('V10 - OAuth and OIDC'!$F$2:$F$44,"Compliant",'V10 - OAuth and OIDC'!$E$2:$E$44,1)</f>
        <v>0</v>
      </c>
      <c r="E15" s="8">
        <f t="shared" si="0"/>
        <v>0</v>
      </c>
      <c r="F15" s="7">
        <v>24</v>
      </c>
      <c r="G15" s="7">
        <f>COUNTIFS('V10 - OAuth and OIDC'!$F$2:$F$44,"Compliant",'V10 - OAuth and OIDC'!$E$2:$E$44,2)</f>
        <v>11</v>
      </c>
      <c r="H15" s="8">
        <f t="shared" si="1"/>
        <v>0.45833333333333331</v>
      </c>
      <c r="I15" s="7">
        <v>7</v>
      </c>
      <c r="J15" s="7">
        <f>COUNTIFS('V10 - OAuth and OIDC'!$F$2:$F$44,"Compliant",'V10 - OAuth and OIDC'!$E$2:$E$44,3)</f>
        <v>0</v>
      </c>
      <c r="K15" s="8">
        <f t="shared" ref="K15:K22" si="4">IF(I15=0,"",J15/I15)</f>
        <v>0</v>
      </c>
      <c r="L15" s="7">
        <f>COUNTIF('V10 - OAuth and OIDC'!$F$2:$F$44,"Compliant")</f>
        <v>11</v>
      </c>
      <c r="M15" s="8">
        <f t="shared" si="3"/>
        <v>0.30555555555555558</v>
      </c>
    </row>
    <row r="16" spans="1:16" ht="18" customHeight="1" x14ac:dyDescent="0.2">
      <c r="A16" s="3" t="s">
        <v>25</v>
      </c>
      <c r="B16" s="4">
        <v>24</v>
      </c>
      <c r="C16" s="4">
        <v>3</v>
      </c>
      <c r="D16" s="4">
        <f>COUNTIFS('V11 - Cryptography'!$F$2:$F$32,"Compliant",'V11 - Cryptography'!$E$2:$E$32,1)</f>
        <v>3</v>
      </c>
      <c r="E16" s="5">
        <f t="shared" si="0"/>
        <v>1</v>
      </c>
      <c r="F16" s="4">
        <v>11</v>
      </c>
      <c r="G16" s="4">
        <f>COUNTIFS('V11 - Cryptography'!$F$2:$F$32,"Compliant",'V11 - Cryptography'!$E$2:$E$32,2)</f>
        <v>11</v>
      </c>
      <c r="H16" s="5">
        <f t="shared" si="1"/>
        <v>1</v>
      </c>
      <c r="I16" s="4">
        <v>10</v>
      </c>
      <c r="J16" s="4">
        <f>COUNTIFS('V11 - Cryptography'!$F$2:$F$32,"Compliant",'V11 - Cryptography'!$E$2:$E$32,3)</f>
        <v>8</v>
      </c>
      <c r="K16" s="5">
        <f t="shared" si="4"/>
        <v>0.8</v>
      </c>
      <c r="L16" s="4">
        <f>COUNTIF('V11 - Cryptography'!$F$2:$F$32,"Compliant")</f>
        <v>22</v>
      </c>
      <c r="M16" s="5">
        <f t="shared" si="3"/>
        <v>0.91666666666666663</v>
      </c>
    </row>
    <row r="17" spans="1:13" ht="18" customHeight="1" x14ac:dyDescent="0.2">
      <c r="A17" s="6" t="s">
        <v>26</v>
      </c>
      <c r="B17" s="7">
        <v>12</v>
      </c>
      <c r="C17" s="7">
        <v>3</v>
      </c>
      <c r="D17" s="7">
        <f>COUNTIFS('V12 - Secure Communication'!$F$2:$F$16,"Compliant",'V12 - Secure Communication'!$E$2:$E$16,1)</f>
        <v>3</v>
      </c>
      <c r="E17" s="8">
        <f t="shared" si="0"/>
        <v>1</v>
      </c>
      <c r="F17" s="7">
        <v>6</v>
      </c>
      <c r="G17" s="7">
        <f>COUNTIFS('V12 - Secure Communication'!$F$2:$F$16,"Compliant",'V12 - Secure Communication'!$E$2:$E$16,2)</f>
        <v>4</v>
      </c>
      <c r="H17" s="8">
        <f t="shared" si="1"/>
        <v>0.66666666666666663</v>
      </c>
      <c r="I17" s="7">
        <v>3</v>
      </c>
      <c r="J17" s="7">
        <f>COUNTIFS('V12 - Secure Communication'!$F$2:$F$16,"Compliant",'V12 - Secure Communication'!$E$2:$E$16,3)</f>
        <v>2</v>
      </c>
      <c r="K17" s="8">
        <f t="shared" si="4"/>
        <v>0.66666666666666663</v>
      </c>
      <c r="L17" s="7">
        <f>COUNTIF('V12 - Secure Communication'!$F$2:$F$16,"Compliant")</f>
        <v>9</v>
      </c>
      <c r="M17" s="8">
        <f t="shared" si="3"/>
        <v>0.75</v>
      </c>
    </row>
    <row r="18" spans="1:13" ht="18" customHeight="1" x14ac:dyDescent="0.2">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x14ac:dyDescent="0.2">
      <c r="A19" s="6" t="s">
        <v>28</v>
      </c>
      <c r="B19" s="7">
        <v>13</v>
      </c>
      <c r="C19" s="7">
        <v>2</v>
      </c>
      <c r="D19" s="7">
        <f>COUNTIFS('V14 - Data Protection'!$F$2:$F$17,"Compliant",'V14 - Data Protection'!$E$2:$E$17,1)</f>
        <v>0</v>
      </c>
      <c r="E19" s="8">
        <f t="shared" si="0"/>
        <v>0</v>
      </c>
      <c r="F19" s="7">
        <v>7</v>
      </c>
      <c r="G19" s="7">
        <f>COUNTIFS('V14 - Data Protection'!$F$2:$F$17,"Compliant",'V14 - Data Protection'!$E$2:$E$17,2)</f>
        <v>1</v>
      </c>
      <c r="H19" s="8">
        <f t="shared" si="1"/>
        <v>0.14285714285714285</v>
      </c>
      <c r="I19" s="7">
        <v>4</v>
      </c>
      <c r="J19" s="7">
        <f>COUNTIFS('V14 - Data Protection'!$F$2:$F$17,"Compliant",'V14 - Data Protection'!$E$2:$E$17,3)</f>
        <v>0</v>
      </c>
      <c r="K19" s="8">
        <f t="shared" si="4"/>
        <v>0</v>
      </c>
      <c r="L19" s="7">
        <f>COUNTIF('V14 - Data Protection'!$F$2:$F$17,"Compliant")</f>
        <v>1</v>
      </c>
      <c r="M19" s="8">
        <f t="shared" si="3"/>
        <v>7.6923076923076927E-2</v>
      </c>
    </row>
    <row r="20" spans="1:13" ht="18" customHeight="1" x14ac:dyDescent="0.2">
      <c r="A20" s="3" t="s">
        <v>29</v>
      </c>
      <c r="B20" s="4">
        <v>21</v>
      </c>
      <c r="C20" s="4">
        <v>3</v>
      </c>
      <c r="D20" s="4">
        <f>COUNTIFS('V15 - Secure Coding and Archite'!$F$2:$F$26,"Compliant",'V15 - Secure Coding and Archite'!$E$2:$E$26,1)</f>
        <v>1</v>
      </c>
      <c r="E20" s="5">
        <f t="shared" si="0"/>
        <v>0.33333333333333331</v>
      </c>
      <c r="F20" s="4">
        <v>10</v>
      </c>
      <c r="G20" s="4">
        <f>COUNTIFS('V15 - Secure Coding and Archite'!$F$2:$F$26,"Compliant",'V15 - Secure Coding and Archite'!$E$2:$E$26,2)</f>
        <v>2</v>
      </c>
      <c r="H20" s="5">
        <f t="shared" si="1"/>
        <v>0.2</v>
      </c>
      <c r="I20" s="4">
        <v>8</v>
      </c>
      <c r="J20" s="4">
        <f>COUNTIFS('V15 - Secure Coding and Archite'!$F$2:$F$26,"Compliant",'V15 - Secure Coding and Archite'!$E$2:$E$26,3)</f>
        <v>2</v>
      </c>
      <c r="K20" s="5">
        <f t="shared" si="4"/>
        <v>0.25</v>
      </c>
      <c r="L20" s="4">
        <f>COUNTIF('V15 - Secure Coding and Archite'!$F$2:$F$26,"Compliant")</f>
        <v>5</v>
      </c>
      <c r="M20" s="5">
        <f t="shared" si="3"/>
        <v>0.23809523809523808</v>
      </c>
    </row>
    <row r="21" spans="1:13" ht="18" customHeight="1" x14ac:dyDescent="0.2">
      <c r="A21" s="6" t="s">
        <v>30</v>
      </c>
      <c r="B21" s="7">
        <v>17</v>
      </c>
      <c r="C21" s="7">
        <v>0</v>
      </c>
      <c r="D21" s="7" t="s">
        <v>23</v>
      </c>
      <c r="E21" s="7" t="s">
        <v>23</v>
      </c>
      <c r="F21" s="7">
        <v>16</v>
      </c>
      <c r="G21" s="7">
        <f>COUNTIFS('V16 - Security Logging and Erro'!$F$2:$F$23,"Compliant",'V16 - Security Logging and Erro'!$E$2:$E$23,2)</f>
        <v>9</v>
      </c>
      <c r="H21" s="8">
        <f t="shared" si="1"/>
        <v>0.5625</v>
      </c>
      <c r="I21" s="7">
        <v>1</v>
      </c>
      <c r="J21" s="7">
        <f>COUNTIFS('V16 - Security Logging and Erro'!$F$2:$F$23,"Compliant",'V16 - Security Logging and Erro'!$E$2:$E$23,3)</f>
        <v>1</v>
      </c>
      <c r="K21" s="8">
        <f t="shared" si="4"/>
        <v>1</v>
      </c>
      <c r="L21" s="7">
        <f>COUNTIF('V16 - Security Logging and Erro'!$F$2:$F$23,"Compliant")</f>
        <v>10</v>
      </c>
      <c r="M21" s="8">
        <f t="shared" si="3"/>
        <v>0.58823529411764708</v>
      </c>
    </row>
    <row r="22" spans="1:13" ht="18" customHeight="1" x14ac:dyDescent="0.2">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25" customHeight="1" x14ac:dyDescent="0.2">
      <c r="A23" s="9" t="s">
        <v>32</v>
      </c>
      <c r="B23" s="10">
        <f>SUM(B6:B22)</f>
        <v>345</v>
      </c>
      <c r="C23" s="10">
        <f>SUM(C6:C22)</f>
        <v>70</v>
      </c>
      <c r="D23" s="10">
        <f>SUM(D6:D22)</f>
        <v>32</v>
      </c>
      <c r="E23" s="11">
        <f>IFERROR(AVERAGE(E6:E22),"")</f>
        <v>0.46089743589743581</v>
      </c>
      <c r="F23" s="10">
        <f>SUM(F6:F22)</f>
        <v>183</v>
      </c>
      <c r="G23" s="10">
        <f>SUM(G6:G22)</f>
        <v>66</v>
      </c>
      <c r="H23" s="11">
        <f>IFERROR(AVERAGE(H6:H22),"")</f>
        <v>0.35049672979239549</v>
      </c>
      <c r="I23" s="10">
        <f>SUM(I6:I22)</f>
        <v>92</v>
      </c>
      <c r="J23" s="10">
        <f>SUM(J6:J22)</f>
        <v>22</v>
      </c>
      <c r="K23" s="11">
        <f>IFERROR(AVERAGE(K6:K22),"")</f>
        <v>0.26874999999999999</v>
      </c>
      <c r="L23" s="10">
        <f>SUM(L6:L22)</f>
        <v>120</v>
      </c>
      <c r="M23" s="11">
        <f>IFERROR(AVERAGE(M6:M22),"")</f>
        <v>0.36280924221379007</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125" zoomScaleNormal="90" workbookViewId="0">
      <pane ySplit="1" topLeftCell="A20" activePane="bottomLeft" state="frozen"/>
      <selection pane="bottomLeft" activeCell="F12" sqref="F1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41</v>
      </c>
      <c r="B2" s="13" t="s">
        <v>42</v>
      </c>
      <c r="C2" s="13"/>
      <c r="D2" s="13"/>
      <c r="E2" s="13"/>
      <c r="F2" s="13"/>
      <c r="G2" s="13"/>
      <c r="H2" s="13"/>
    </row>
    <row r="3" spans="1:8" ht="30" customHeight="1" x14ac:dyDescent="0.2">
      <c r="A3" s="14" t="s">
        <v>41</v>
      </c>
      <c r="B3" s="14" t="s">
        <v>42</v>
      </c>
      <c r="C3" s="15" t="s">
        <v>43</v>
      </c>
      <c r="D3" s="16" t="s">
        <v>44</v>
      </c>
      <c r="E3" s="17">
        <v>2</v>
      </c>
      <c r="F3" s="18" t="s">
        <v>45</v>
      </c>
      <c r="G3" s="16" t="s">
        <v>46</v>
      </c>
      <c r="H3" s="16" t="s">
        <v>47</v>
      </c>
    </row>
    <row r="4" spans="1:8" ht="30" customHeight="1" x14ac:dyDescent="0.2">
      <c r="A4" s="19" t="s">
        <v>41</v>
      </c>
      <c r="B4" s="19" t="s">
        <v>42</v>
      </c>
      <c r="C4" s="20" t="s">
        <v>48</v>
      </c>
      <c r="D4" s="21" t="s">
        <v>49</v>
      </c>
      <c r="E4" s="17">
        <v>2</v>
      </c>
      <c r="F4" s="18" t="s">
        <v>45</v>
      </c>
      <c r="G4" s="16" t="s">
        <v>50</v>
      </c>
      <c r="H4" s="21" t="s">
        <v>51</v>
      </c>
    </row>
    <row r="5" spans="1:8" ht="18" customHeight="1" x14ac:dyDescent="0.2">
      <c r="A5" s="13" t="s">
        <v>52</v>
      </c>
      <c r="B5" s="13" t="s">
        <v>53</v>
      </c>
      <c r="C5" s="13"/>
      <c r="D5" s="13"/>
      <c r="E5" s="13"/>
      <c r="F5" s="13"/>
      <c r="G5" s="13"/>
      <c r="H5" s="13"/>
    </row>
    <row r="6" spans="1:8" ht="30" customHeight="1" x14ac:dyDescent="0.2">
      <c r="A6" s="14" t="s">
        <v>52</v>
      </c>
      <c r="B6" s="14" t="s">
        <v>53</v>
      </c>
      <c r="C6" s="15" t="s">
        <v>54</v>
      </c>
      <c r="D6" s="16" t="s">
        <v>55</v>
      </c>
      <c r="E6" s="22">
        <v>1</v>
      </c>
      <c r="F6" s="18" t="s">
        <v>56</v>
      </c>
      <c r="G6" s="16"/>
      <c r="H6" s="16" t="s">
        <v>57</v>
      </c>
    </row>
    <row r="7" spans="1:8" ht="30" customHeight="1" x14ac:dyDescent="0.2">
      <c r="A7" s="19" t="s">
        <v>52</v>
      </c>
      <c r="B7" s="19" t="s">
        <v>53</v>
      </c>
      <c r="C7" s="20" t="s">
        <v>58</v>
      </c>
      <c r="D7" s="21" t="s">
        <v>59</v>
      </c>
      <c r="E7" s="22">
        <v>1</v>
      </c>
      <c r="F7" s="18" t="s">
        <v>45</v>
      </c>
      <c r="G7" s="21" t="s">
        <v>60</v>
      </c>
      <c r="H7" s="21" t="s">
        <v>61</v>
      </c>
    </row>
    <row r="8" spans="1:8" ht="30" customHeight="1" x14ac:dyDescent="0.2">
      <c r="A8" s="14" t="s">
        <v>52</v>
      </c>
      <c r="B8" s="14" t="s">
        <v>53</v>
      </c>
      <c r="C8" s="15" t="s">
        <v>62</v>
      </c>
      <c r="D8" s="16" t="s">
        <v>63</v>
      </c>
      <c r="E8" s="22">
        <v>1</v>
      </c>
      <c r="F8" s="18" t="s">
        <v>56</v>
      </c>
      <c r="G8" s="16" t="s">
        <v>64</v>
      </c>
      <c r="H8" s="16" t="s">
        <v>65</v>
      </c>
    </row>
    <row r="9" spans="1:8" ht="30" customHeight="1" x14ac:dyDescent="0.2">
      <c r="A9" s="19" t="s">
        <v>52</v>
      </c>
      <c r="B9" s="19" t="s">
        <v>53</v>
      </c>
      <c r="C9" s="20" t="s">
        <v>66</v>
      </c>
      <c r="D9" s="21" t="s">
        <v>67</v>
      </c>
      <c r="E9" s="22">
        <v>1</v>
      </c>
      <c r="F9" s="18" t="s">
        <v>45</v>
      </c>
      <c r="G9" s="21" t="s">
        <v>68</v>
      </c>
      <c r="H9" s="21" t="s">
        <v>69</v>
      </c>
    </row>
    <row r="10" spans="1:8" ht="30" customHeight="1" x14ac:dyDescent="0.2">
      <c r="A10" s="14" t="s">
        <v>52</v>
      </c>
      <c r="B10" s="14" t="s">
        <v>53</v>
      </c>
      <c r="C10" s="15" t="s">
        <v>70</v>
      </c>
      <c r="D10" s="16" t="s">
        <v>71</v>
      </c>
      <c r="E10" s="22">
        <v>1</v>
      </c>
      <c r="F10" s="18" t="s">
        <v>56</v>
      </c>
      <c r="G10" s="16"/>
      <c r="H10" s="16"/>
    </row>
    <row r="11" spans="1:8" ht="30" customHeight="1" x14ac:dyDescent="0.2">
      <c r="A11" s="19" t="s">
        <v>52</v>
      </c>
      <c r="B11" s="19" t="s">
        <v>53</v>
      </c>
      <c r="C11" s="20" t="s">
        <v>72</v>
      </c>
      <c r="D11" s="21" t="s">
        <v>73</v>
      </c>
      <c r="E11" s="17">
        <v>2</v>
      </c>
      <c r="F11" s="18" t="s">
        <v>56</v>
      </c>
      <c r="G11" s="21"/>
      <c r="H11" s="21"/>
    </row>
    <row r="12" spans="1:8" ht="30" customHeight="1" x14ac:dyDescent="0.2">
      <c r="A12" s="14" t="s">
        <v>52</v>
      </c>
      <c r="B12" s="14" t="s">
        <v>53</v>
      </c>
      <c r="C12" s="15" t="s">
        <v>74</v>
      </c>
      <c r="D12" s="16" t="s">
        <v>75</v>
      </c>
      <c r="E12" s="17">
        <v>2</v>
      </c>
      <c r="F12" s="18" t="s">
        <v>76</v>
      </c>
      <c r="G12" s="16"/>
      <c r="H12" s="16"/>
    </row>
    <row r="13" spans="1:8" ht="30" customHeight="1" x14ac:dyDescent="0.2">
      <c r="A13" s="19" t="s">
        <v>52</v>
      </c>
      <c r="B13" s="19" t="s">
        <v>53</v>
      </c>
      <c r="C13" s="20" t="s">
        <v>77</v>
      </c>
      <c r="D13" s="21" t="s">
        <v>78</v>
      </c>
      <c r="E13" s="17">
        <v>2</v>
      </c>
      <c r="F13" s="18" t="s">
        <v>76</v>
      </c>
      <c r="G13" s="21"/>
      <c r="H13" s="21"/>
    </row>
    <row r="14" spans="1:8" ht="30" customHeight="1" x14ac:dyDescent="0.2">
      <c r="A14" s="14" t="s">
        <v>52</v>
      </c>
      <c r="B14" s="14" t="s">
        <v>53</v>
      </c>
      <c r="C14" s="15" t="s">
        <v>79</v>
      </c>
      <c r="D14" s="16" t="s">
        <v>80</v>
      </c>
      <c r="E14" s="17">
        <v>2</v>
      </c>
      <c r="F14" s="18" t="s">
        <v>45</v>
      </c>
      <c r="G14" s="16"/>
      <c r="H14" s="16" t="s">
        <v>81</v>
      </c>
    </row>
    <row r="15" spans="1:8" ht="30" customHeight="1" x14ac:dyDescent="0.2">
      <c r="A15" s="19" t="s">
        <v>52</v>
      </c>
      <c r="B15" s="19" t="s">
        <v>53</v>
      </c>
      <c r="C15" s="20" t="s">
        <v>82</v>
      </c>
      <c r="D15" s="21" t="s">
        <v>83</v>
      </c>
      <c r="E15" s="23">
        <v>3</v>
      </c>
      <c r="F15" s="18" t="s">
        <v>56</v>
      </c>
      <c r="G15" s="21"/>
      <c r="H15" s="21"/>
    </row>
    <row r="16" spans="1:8" ht="18" customHeight="1" x14ac:dyDescent="0.2">
      <c r="A16" s="13" t="s">
        <v>84</v>
      </c>
      <c r="B16" s="13" t="s">
        <v>85</v>
      </c>
      <c r="C16" s="13"/>
      <c r="D16" s="13"/>
      <c r="E16" s="13"/>
      <c r="F16" s="13"/>
      <c r="G16" s="13"/>
      <c r="H16" s="13"/>
    </row>
    <row r="17" spans="1:8" ht="30" customHeight="1" x14ac:dyDescent="0.2">
      <c r="A17" s="14" t="s">
        <v>84</v>
      </c>
      <c r="B17" s="14" t="s">
        <v>85</v>
      </c>
      <c r="C17" s="15" t="s">
        <v>86</v>
      </c>
      <c r="D17" s="16" t="s">
        <v>87</v>
      </c>
      <c r="E17" s="22">
        <v>1</v>
      </c>
      <c r="F17" s="18" t="s">
        <v>76</v>
      </c>
      <c r="G17" s="16"/>
      <c r="H17" s="16"/>
    </row>
    <row r="18" spans="1:8" ht="30" customHeight="1" x14ac:dyDescent="0.2">
      <c r="A18" s="19" t="s">
        <v>84</v>
      </c>
      <c r="B18" s="19" t="s">
        <v>85</v>
      </c>
      <c r="C18" s="20" t="s">
        <v>88</v>
      </c>
      <c r="D18" s="21" t="s">
        <v>89</v>
      </c>
      <c r="E18" s="22">
        <v>1</v>
      </c>
      <c r="F18" s="18" t="s">
        <v>45</v>
      </c>
      <c r="G18" s="16" t="s">
        <v>90</v>
      </c>
      <c r="H18" s="21"/>
    </row>
    <row r="19" spans="1:8" ht="30" customHeight="1" x14ac:dyDescent="0.2">
      <c r="A19" s="14" t="s">
        <v>84</v>
      </c>
      <c r="B19" s="14" t="s">
        <v>85</v>
      </c>
      <c r="C19" s="15" t="s">
        <v>91</v>
      </c>
      <c r="D19" s="16" t="s">
        <v>92</v>
      </c>
      <c r="E19" s="17">
        <v>2</v>
      </c>
      <c r="F19" s="18" t="s">
        <v>45</v>
      </c>
      <c r="G19" s="16" t="s">
        <v>93</v>
      </c>
      <c r="H19" s="16" t="s">
        <v>94</v>
      </c>
    </row>
    <row r="20" spans="1:8" ht="30" customHeight="1" x14ac:dyDescent="0.2">
      <c r="A20" s="19" t="s">
        <v>84</v>
      </c>
      <c r="B20" s="19" t="s">
        <v>85</v>
      </c>
      <c r="C20" s="20" t="s">
        <v>95</v>
      </c>
      <c r="D20" s="21" t="s">
        <v>96</v>
      </c>
      <c r="E20" s="17">
        <v>2</v>
      </c>
      <c r="F20" s="18" t="s">
        <v>76</v>
      </c>
      <c r="G20" s="21"/>
      <c r="H20" s="21"/>
    </row>
    <row r="21" spans="1:8" ht="30" customHeight="1" x14ac:dyDescent="0.2">
      <c r="A21" s="14" t="s">
        <v>84</v>
      </c>
      <c r="B21" s="14" t="s">
        <v>85</v>
      </c>
      <c r="C21" s="15" t="s">
        <v>97</v>
      </c>
      <c r="D21" s="16" t="s">
        <v>98</v>
      </c>
      <c r="E21" s="17">
        <v>2</v>
      </c>
      <c r="F21" s="18" t="s">
        <v>76</v>
      </c>
      <c r="G21" s="16"/>
      <c r="H21" s="16"/>
    </row>
    <row r="22" spans="1:8" ht="30" customHeight="1" x14ac:dyDescent="0.2">
      <c r="A22" s="19" t="s">
        <v>84</v>
      </c>
      <c r="B22" s="19" t="s">
        <v>85</v>
      </c>
      <c r="C22" s="20" t="s">
        <v>99</v>
      </c>
      <c r="D22" s="21" t="s">
        <v>100</v>
      </c>
      <c r="E22" s="17">
        <v>2</v>
      </c>
      <c r="F22" s="18" t="s">
        <v>45</v>
      </c>
      <c r="G22" s="21"/>
      <c r="H22" s="21" t="s">
        <v>101</v>
      </c>
    </row>
    <row r="23" spans="1:8" ht="30" customHeight="1" x14ac:dyDescent="0.2">
      <c r="A23" s="14" t="s">
        <v>84</v>
      </c>
      <c r="B23" s="14" t="s">
        <v>85</v>
      </c>
      <c r="C23" s="15" t="s">
        <v>102</v>
      </c>
      <c r="D23" s="16" t="s">
        <v>103</v>
      </c>
      <c r="E23" s="17">
        <v>2</v>
      </c>
      <c r="F23" s="18" t="s">
        <v>76</v>
      </c>
      <c r="G23" s="16"/>
      <c r="H23" s="16"/>
    </row>
    <row r="24" spans="1:8" ht="30" customHeight="1" x14ac:dyDescent="0.2">
      <c r="A24" s="19" t="s">
        <v>84</v>
      </c>
      <c r="B24" s="19" t="s">
        <v>85</v>
      </c>
      <c r="C24" s="20" t="s">
        <v>104</v>
      </c>
      <c r="D24" s="21" t="s">
        <v>105</v>
      </c>
      <c r="E24" s="17">
        <v>2</v>
      </c>
      <c r="F24" s="18" t="s">
        <v>76</v>
      </c>
      <c r="G24" s="21"/>
      <c r="H24" s="21"/>
    </row>
    <row r="25" spans="1:8" ht="30" customHeight="1" x14ac:dyDescent="0.2">
      <c r="A25" s="14" t="s">
        <v>84</v>
      </c>
      <c r="B25" s="14" t="s">
        <v>85</v>
      </c>
      <c r="C25" s="15" t="s">
        <v>106</v>
      </c>
      <c r="D25" s="16" t="s">
        <v>107</v>
      </c>
      <c r="E25" s="17">
        <v>2</v>
      </c>
      <c r="F25" s="18" t="s">
        <v>76</v>
      </c>
      <c r="G25" s="16"/>
      <c r="H25" s="16"/>
    </row>
    <row r="26" spans="1:8" ht="30" customHeight="1" x14ac:dyDescent="0.2">
      <c r="A26" s="19" t="s">
        <v>84</v>
      </c>
      <c r="B26" s="19" t="s">
        <v>85</v>
      </c>
      <c r="C26" s="20" t="s">
        <v>108</v>
      </c>
      <c r="D26" s="21" t="s">
        <v>109</v>
      </c>
      <c r="E26" s="17">
        <v>2</v>
      </c>
      <c r="F26" s="18" t="s">
        <v>45</v>
      </c>
      <c r="G26" s="21" t="s">
        <v>110</v>
      </c>
      <c r="H26" s="21" t="s">
        <v>111</v>
      </c>
    </row>
    <row r="27" spans="1:8" ht="30" customHeight="1" x14ac:dyDescent="0.2">
      <c r="A27" s="14" t="s">
        <v>84</v>
      </c>
      <c r="B27" s="14" t="s">
        <v>85</v>
      </c>
      <c r="C27" s="15" t="s">
        <v>112</v>
      </c>
      <c r="D27" s="16" t="s">
        <v>113</v>
      </c>
      <c r="E27" s="17">
        <v>2</v>
      </c>
      <c r="F27" s="18" t="s">
        <v>76</v>
      </c>
      <c r="G27" s="16" t="s">
        <v>114</v>
      </c>
      <c r="H27" s="16"/>
    </row>
    <row r="28" spans="1:8" ht="30" customHeight="1" x14ac:dyDescent="0.2">
      <c r="A28" s="19" t="s">
        <v>84</v>
      </c>
      <c r="B28" s="19" t="s">
        <v>85</v>
      </c>
      <c r="C28" s="20" t="s">
        <v>115</v>
      </c>
      <c r="D28" s="21" t="s">
        <v>116</v>
      </c>
      <c r="E28" s="23">
        <v>3</v>
      </c>
      <c r="F28" s="18" t="s">
        <v>45</v>
      </c>
      <c r="G28" s="21" t="s">
        <v>117</v>
      </c>
      <c r="H28" s="21" t="s">
        <v>118</v>
      </c>
    </row>
    <row r="29" spans="1:8" ht="18" customHeight="1" x14ac:dyDescent="0.2">
      <c r="A29" s="13" t="s">
        <v>119</v>
      </c>
      <c r="B29" s="13" t="s">
        <v>120</v>
      </c>
      <c r="C29" s="13"/>
      <c r="D29" s="13"/>
      <c r="E29" s="13"/>
      <c r="F29" s="13"/>
      <c r="G29" s="13"/>
      <c r="H29" s="13"/>
    </row>
    <row r="30" spans="1:8" ht="30" customHeight="1" x14ac:dyDescent="0.2">
      <c r="A30" s="14" t="s">
        <v>119</v>
      </c>
      <c r="B30" s="14" t="s">
        <v>120</v>
      </c>
      <c r="C30" s="15" t="s">
        <v>121</v>
      </c>
      <c r="D30" s="16" t="s">
        <v>122</v>
      </c>
      <c r="E30" s="17">
        <v>2</v>
      </c>
      <c r="F30" s="18" t="s">
        <v>76</v>
      </c>
      <c r="G30" s="16" t="s">
        <v>123</v>
      </c>
      <c r="H30" s="16"/>
    </row>
    <row r="31" spans="1:8" ht="30" customHeight="1" x14ac:dyDescent="0.2">
      <c r="A31" s="19" t="s">
        <v>119</v>
      </c>
      <c r="B31" s="19" t="s">
        <v>120</v>
      </c>
      <c r="C31" s="20" t="s">
        <v>124</v>
      </c>
      <c r="D31" s="21" t="s">
        <v>125</v>
      </c>
      <c r="E31" s="17">
        <v>2</v>
      </c>
      <c r="F31" s="18" t="s">
        <v>45</v>
      </c>
      <c r="G31" s="21" t="s">
        <v>126</v>
      </c>
      <c r="H31" s="21" t="s">
        <v>127</v>
      </c>
    </row>
    <row r="32" spans="1:8" ht="30" customHeight="1" x14ac:dyDescent="0.2">
      <c r="A32" s="14" t="s">
        <v>119</v>
      </c>
      <c r="B32" s="14" t="s">
        <v>120</v>
      </c>
      <c r="C32" s="15" t="s">
        <v>128</v>
      </c>
      <c r="D32" s="16" t="s">
        <v>129</v>
      </c>
      <c r="E32" s="17">
        <v>2</v>
      </c>
      <c r="F32" s="18" t="s">
        <v>76</v>
      </c>
      <c r="G32" s="16" t="s">
        <v>130</v>
      </c>
      <c r="H32" s="16"/>
    </row>
    <row r="33" spans="1:8" ht="18" customHeight="1" x14ac:dyDescent="0.2">
      <c r="A33" s="13" t="s">
        <v>131</v>
      </c>
      <c r="B33" s="13" t="s">
        <v>132</v>
      </c>
      <c r="C33" s="13"/>
      <c r="D33" s="13"/>
      <c r="E33" s="13"/>
      <c r="F33" s="13"/>
      <c r="G33" s="13"/>
      <c r="H33" s="13"/>
    </row>
    <row r="34" spans="1:8" ht="30" customHeight="1" x14ac:dyDescent="0.2">
      <c r="A34" s="14" t="s">
        <v>131</v>
      </c>
      <c r="B34" s="14" t="s">
        <v>132</v>
      </c>
      <c r="C34" s="15" t="s">
        <v>133</v>
      </c>
      <c r="D34" s="16" t="s">
        <v>134</v>
      </c>
      <c r="E34" s="22">
        <v>1</v>
      </c>
      <c r="F34" s="18" t="s">
        <v>76</v>
      </c>
      <c r="G34" s="16"/>
      <c r="H34" s="16"/>
    </row>
    <row r="35" spans="1:8" ht="30" customHeight="1" x14ac:dyDescent="0.2">
      <c r="A35" s="19" t="s">
        <v>131</v>
      </c>
      <c r="B35" s="19" t="s">
        <v>132</v>
      </c>
      <c r="C35" s="20" t="s">
        <v>135</v>
      </c>
      <c r="D35" s="21" t="s">
        <v>136</v>
      </c>
      <c r="E35" s="17">
        <v>2</v>
      </c>
      <c r="F35" s="18" t="s">
        <v>45</v>
      </c>
      <c r="G35" s="21" t="s">
        <v>137</v>
      </c>
      <c r="H35" s="21" t="s">
        <v>47</v>
      </c>
    </row>
    <row r="36" spans="1:8" ht="30" customHeight="1" x14ac:dyDescent="0.2">
      <c r="A36" s="14" t="s">
        <v>131</v>
      </c>
      <c r="B36" s="14" t="s">
        <v>132</v>
      </c>
      <c r="C36" s="15" t="s">
        <v>138</v>
      </c>
      <c r="D36" s="16" t="s">
        <v>139</v>
      </c>
      <c r="E36" s="23">
        <v>3</v>
      </c>
      <c r="F36" s="18" t="s">
        <v>45</v>
      </c>
      <c r="G36" s="16" t="s">
        <v>140</v>
      </c>
      <c r="H36" s="16" t="s">
        <v>141</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118" zoomScaleNormal="75" workbookViewId="0">
      <pane ySplit="1" topLeftCell="A2" activePane="bottomLeft" state="frozen"/>
      <selection pane="bottomLeft" activeCell="D24" sqref="D2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142</v>
      </c>
      <c r="B2" s="13" t="s">
        <v>143</v>
      </c>
      <c r="C2" s="13"/>
      <c r="D2" s="13"/>
      <c r="E2" s="13"/>
      <c r="F2" s="13"/>
      <c r="G2" s="13"/>
      <c r="H2" s="13"/>
    </row>
    <row r="3" spans="1:8" ht="30" customHeight="1" x14ac:dyDescent="0.2">
      <c r="A3" s="14" t="s">
        <v>142</v>
      </c>
      <c r="B3" s="14" t="s">
        <v>143</v>
      </c>
      <c r="C3" s="15" t="s">
        <v>144</v>
      </c>
      <c r="D3" s="16" t="s">
        <v>145</v>
      </c>
      <c r="E3" s="22">
        <v>1</v>
      </c>
      <c r="F3" s="18" t="s">
        <v>45</v>
      </c>
      <c r="G3" s="16"/>
      <c r="H3" s="16" t="s">
        <v>146</v>
      </c>
    </row>
    <row r="4" spans="1:8" ht="30" customHeight="1" x14ac:dyDescent="0.2">
      <c r="A4" s="19" t="s">
        <v>142</v>
      </c>
      <c r="B4" s="19" t="s">
        <v>143</v>
      </c>
      <c r="C4" s="20" t="s">
        <v>147</v>
      </c>
      <c r="D4" s="21" t="s">
        <v>148</v>
      </c>
      <c r="E4" s="17">
        <v>2</v>
      </c>
      <c r="F4" s="18" t="s">
        <v>56</v>
      </c>
      <c r="G4" s="21"/>
      <c r="H4" s="21"/>
    </row>
    <row r="5" spans="1:8" ht="30" customHeight="1" x14ac:dyDescent="0.2">
      <c r="A5" s="14" t="s">
        <v>142</v>
      </c>
      <c r="B5" s="14" t="s">
        <v>143</v>
      </c>
      <c r="C5" s="15" t="s">
        <v>149</v>
      </c>
      <c r="D5" s="16" t="s">
        <v>150</v>
      </c>
      <c r="E5" s="17">
        <v>2</v>
      </c>
      <c r="F5" s="18" t="s">
        <v>45</v>
      </c>
      <c r="G5" s="16"/>
      <c r="H5" s="16" t="s">
        <v>151</v>
      </c>
    </row>
    <row r="6" spans="1:8" ht="18" customHeight="1" x14ac:dyDescent="0.2">
      <c r="A6" s="13" t="s">
        <v>152</v>
      </c>
      <c r="B6" s="13" t="s">
        <v>153</v>
      </c>
      <c r="C6" s="13"/>
      <c r="D6" s="13"/>
      <c r="E6" s="13"/>
      <c r="F6" s="13"/>
      <c r="G6" s="13"/>
      <c r="H6" s="13"/>
    </row>
    <row r="7" spans="1:8" ht="30" customHeight="1" x14ac:dyDescent="0.2">
      <c r="A7" s="14" t="s">
        <v>152</v>
      </c>
      <c r="B7" s="14" t="s">
        <v>153</v>
      </c>
      <c r="C7" s="15" t="s">
        <v>154</v>
      </c>
      <c r="D7" s="16" t="s">
        <v>155</v>
      </c>
      <c r="E7" s="22">
        <v>1</v>
      </c>
      <c r="F7" s="18" t="s">
        <v>45</v>
      </c>
      <c r="G7" s="16"/>
      <c r="H7" s="16" t="s">
        <v>156</v>
      </c>
    </row>
    <row r="8" spans="1:8" ht="30" customHeight="1" x14ac:dyDescent="0.2">
      <c r="A8" s="19" t="s">
        <v>152</v>
      </c>
      <c r="B8" s="19" t="s">
        <v>153</v>
      </c>
      <c r="C8" s="20" t="s">
        <v>157</v>
      </c>
      <c r="D8" s="21" t="s">
        <v>158</v>
      </c>
      <c r="E8" s="22">
        <v>1</v>
      </c>
      <c r="F8" s="18" t="s">
        <v>45</v>
      </c>
      <c r="G8" s="21" t="s">
        <v>159</v>
      </c>
      <c r="H8" s="21" t="s">
        <v>65</v>
      </c>
    </row>
    <row r="9" spans="1:8" ht="30" customHeight="1" x14ac:dyDescent="0.2">
      <c r="A9" s="14" t="s">
        <v>152</v>
      </c>
      <c r="B9" s="14" t="s">
        <v>153</v>
      </c>
      <c r="C9" s="15" t="s">
        <v>160</v>
      </c>
      <c r="D9" s="16" t="s">
        <v>161</v>
      </c>
      <c r="E9" s="17">
        <v>2</v>
      </c>
      <c r="F9" s="18" t="s">
        <v>45</v>
      </c>
      <c r="G9" s="16" t="s">
        <v>162</v>
      </c>
      <c r="H9" s="16" t="s">
        <v>163</v>
      </c>
    </row>
    <row r="10" spans="1:8" ht="18" customHeight="1" x14ac:dyDescent="0.2">
      <c r="A10" s="13" t="s">
        <v>164</v>
      </c>
      <c r="B10" s="13" t="s">
        <v>165</v>
      </c>
      <c r="C10" s="13"/>
      <c r="D10" s="13"/>
      <c r="E10" s="13"/>
      <c r="F10" s="13"/>
      <c r="G10" s="13"/>
      <c r="H10" s="13"/>
    </row>
    <row r="11" spans="1:8" ht="30" customHeight="1" x14ac:dyDescent="0.2">
      <c r="A11" s="14" t="s">
        <v>164</v>
      </c>
      <c r="B11" s="14" t="s">
        <v>165</v>
      </c>
      <c r="C11" s="15" t="s">
        <v>166</v>
      </c>
      <c r="D11" s="16" t="s">
        <v>167</v>
      </c>
      <c r="E11" s="22">
        <v>1</v>
      </c>
      <c r="F11" s="18" t="s">
        <v>45</v>
      </c>
      <c r="G11" s="16"/>
      <c r="H11" s="16" t="s">
        <v>168</v>
      </c>
    </row>
    <row r="12" spans="1:8" ht="30" customHeight="1" x14ac:dyDescent="0.2">
      <c r="A12" s="19" t="s">
        <v>164</v>
      </c>
      <c r="B12" s="19" t="s">
        <v>165</v>
      </c>
      <c r="C12" s="20" t="s">
        <v>169</v>
      </c>
      <c r="D12" s="21" t="s">
        <v>170</v>
      </c>
      <c r="E12" s="17">
        <v>2</v>
      </c>
      <c r="F12" s="18" t="s">
        <v>45</v>
      </c>
      <c r="G12" s="21" t="s">
        <v>171</v>
      </c>
      <c r="H12" s="21" t="s">
        <v>172</v>
      </c>
    </row>
    <row r="13" spans="1:8" ht="30" customHeight="1" x14ac:dyDescent="0.2">
      <c r="A13" s="14" t="s">
        <v>164</v>
      </c>
      <c r="B13" s="14" t="s">
        <v>165</v>
      </c>
      <c r="C13" s="15" t="s">
        <v>173</v>
      </c>
      <c r="D13" s="16" t="s">
        <v>174</v>
      </c>
      <c r="E13" s="17">
        <v>2</v>
      </c>
      <c r="F13" s="18" t="s">
        <v>56</v>
      </c>
      <c r="G13" s="16" t="s">
        <v>175</v>
      </c>
      <c r="H13" s="16"/>
    </row>
    <row r="14" spans="1:8" ht="30" customHeight="1" x14ac:dyDescent="0.2">
      <c r="A14" s="19" t="s">
        <v>164</v>
      </c>
      <c r="B14" s="19" t="s">
        <v>165</v>
      </c>
      <c r="C14" s="20" t="s">
        <v>176</v>
      </c>
      <c r="D14" s="21" t="s">
        <v>177</v>
      </c>
      <c r="E14" s="17">
        <v>2</v>
      </c>
      <c r="F14" s="18" t="s">
        <v>56</v>
      </c>
      <c r="G14" s="21" t="s">
        <v>178</v>
      </c>
      <c r="H14" s="21" t="s">
        <v>179</v>
      </c>
    </row>
    <row r="15" spans="1:8" ht="30" customHeight="1" x14ac:dyDescent="0.2">
      <c r="A15" s="14" t="s">
        <v>164</v>
      </c>
      <c r="B15" s="14" t="s">
        <v>165</v>
      </c>
      <c r="C15" s="15" t="s">
        <v>180</v>
      </c>
      <c r="D15" s="16" t="s">
        <v>181</v>
      </c>
      <c r="E15" s="23">
        <v>3</v>
      </c>
      <c r="F15" s="18" t="s">
        <v>76</v>
      </c>
      <c r="G15" s="16"/>
      <c r="H15" s="16"/>
    </row>
    <row r="16" spans="1:8" ht="18" customHeight="1" x14ac:dyDescent="0.2">
      <c r="A16" s="13" t="s">
        <v>182</v>
      </c>
      <c r="B16" s="13" t="s">
        <v>183</v>
      </c>
      <c r="C16" s="13"/>
      <c r="D16" s="13"/>
      <c r="E16" s="13"/>
      <c r="F16" s="13"/>
      <c r="G16" s="13"/>
      <c r="H16" s="13"/>
    </row>
    <row r="17" spans="1:8" ht="30" customHeight="1" x14ac:dyDescent="0.2">
      <c r="A17" s="14" t="s">
        <v>182</v>
      </c>
      <c r="B17" s="14" t="s">
        <v>183</v>
      </c>
      <c r="C17" s="15" t="s">
        <v>184</v>
      </c>
      <c r="D17" s="16" t="s">
        <v>185</v>
      </c>
      <c r="E17" s="17">
        <v>2</v>
      </c>
      <c r="F17" s="18" t="s">
        <v>45</v>
      </c>
      <c r="G17" s="21" t="s">
        <v>186</v>
      </c>
      <c r="H17" s="16" t="s">
        <v>187</v>
      </c>
    </row>
    <row r="18" spans="1:8" ht="30" customHeight="1" x14ac:dyDescent="0.2">
      <c r="A18" s="19" t="s">
        <v>182</v>
      </c>
      <c r="B18" s="19" t="s">
        <v>183</v>
      </c>
      <c r="C18" s="20" t="s">
        <v>188</v>
      </c>
      <c r="D18" s="21" t="s">
        <v>189</v>
      </c>
      <c r="E18" s="23">
        <v>3</v>
      </c>
      <c r="F18" s="18" t="s">
        <v>56</v>
      </c>
      <c r="G18" s="21" t="s">
        <v>190</v>
      </c>
      <c r="H18" s="16" t="s">
        <v>187</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135" zoomScaleNormal="75" workbookViewId="0">
      <pane ySplit="1" topLeftCell="A29" activePane="bottomLeft" state="frozen"/>
      <selection pane="bottomLeft" activeCell="D35" sqref="D35:D3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191</v>
      </c>
      <c r="B2" s="13" t="s">
        <v>192</v>
      </c>
      <c r="C2" s="13"/>
      <c r="D2" s="13"/>
      <c r="E2" s="13"/>
      <c r="F2" s="13"/>
      <c r="G2" s="13"/>
      <c r="H2" s="13"/>
    </row>
    <row r="3" spans="1:8" ht="30" customHeight="1" x14ac:dyDescent="0.2">
      <c r="A3" s="14" t="s">
        <v>191</v>
      </c>
      <c r="B3" s="14" t="s">
        <v>192</v>
      </c>
      <c r="C3" s="15" t="s">
        <v>193</v>
      </c>
      <c r="D3" s="16" t="s">
        <v>194</v>
      </c>
      <c r="E3" s="23">
        <v>3</v>
      </c>
      <c r="F3" s="18" t="s">
        <v>195</v>
      </c>
      <c r="G3" s="16"/>
      <c r="H3" s="16"/>
    </row>
    <row r="4" spans="1:8" ht="18" customHeight="1" x14ac:dyDescent="0.2">
      <c r="A4" s="13" t="s">
        <v>196</v>
      </c>
      <c r="B4" s="13" t="s">
        <v>197</v>
      </c>
      <c r="C4" s="13"/>
      <c r="D4" s="13"/>
      <c r="E4" s="13"/>
      <c r="F4" s="13"/>
      <c r="G4" s="13"/>
      <c r="H4" s="13"/>
    </row>
    <row r="5" spans="1:8" ht="30" customHeight="1" x14ac:dyDescent="0.2">
      <c r="A5" s="14" t="s">
        <v>196</v>
      </c>
      <c r="B5" s="14" t="s">
        <v>197</v>
      </c>
      <c r="C5" s="15" t="s">
        <v>198</v>
      </c>
      <c r="D5" s="16" t="s">
        <v>199</v>
      </c>
      <c r="E5" s="22">
        <v>1</v>
      </c>
      <c r="F5" s="18" t="s">
        <v>195</v>
      </c>
      <c r="G5" s="16"/>
      <c r="H5" s="16"/>
    </row>
    <row r="6" spans="1:8" ht="30" customHeight="1" x14ac:dyDescent="0.2">
      <c r="A6" s="19" t="s">
        <v>196</v>
      </c>
      <c r="B6" s="19" t="s">
        <v>197</v>
      </c>
      <c r="C6" s="20" t="s">
        <v>200</v>
      </c>
      <c r="D6" s="21" t="s">
        <v>201</v>
      </c>
      <c r="E6" s="22">
        <v>1</v>
      </c>
      <c r="F6" s="18" t="s">
        <v>195</v>
      </c>
      <c r="G6" s="21"/>
      <c r="H6" s="21"/>
    </row>
    <row r="7" spans="1:8" ht="30" customHeight="1" x14ac:dyDescent="0.2">
      <c r="A7" s="14" t="s">
        <v>196</v>
      </c>
      <c r="B7" s="14" t="s">
        <v>197</v>
      </c>
      <c r="C7" s="15" t="s">
        <v>202</v>
      </c>
      <c r="D7" s="16" t="s">
        <v>203</v>
      </c>
      <c r="E7" s="23">
        <v>3</v>
      </c>
      <c r="F7" s="18" t="s">
        <v>195</v>
      </c>
      <c r="G7" s="16"/>
      <c r="H7" s="16"/>
    </row>
    <row r="8" spans="1:8" ht="18" customHeight="1" x14ac:dyDescent="0.2">
      <c r="A8" s="13" t="s">
        <v>204</v>
      </c>
      <c r="B8" s="13" t="s">
        <v>205</v>
      </c>
      <c r="C8" s="13"/>
      <c r="D8" s="13"/>
      <c r="E8" s="13"/>
      <c r="F8" s="13"/>
      <c r="G8" s="13"/>
      <c r="H8" s="13"/>
    </row>
    <row r="9" spans="1:8" ht="30" customHeight="1" x14ac:dyDescent="0.2">
      <c r="A9" s="14" t="s">
        <v>204</v>
      </c>
      <c r="B9" s="14" t="s">
        <v>205</v>
      </c>
      <c r="C9" s="15" t="s">
        <v>206</v>
      </c>
      <c r="D9" s="16" t="s">
        <v>207</v>
      </c>
      <c r="E9" s="22">
        <v>1</v>
      </c>
      <c r="F9" s="18" t="s">
        <v>195</v>
      </c>
      <c r="G9" s="16"/>
      <c r="H9" s="16"/>
    </row>
    <row r="10" spans="1:8" ht="30" customHeight="1" x14ac:dyDescent="0.2">
      <c r="A10" s="19" t="s">
        <v>204</v>
      </c>
      <c r="B10" s="19" t="s">
        <v>205</v>
      </c>
      <c r="C10" s="20" t="s">
        <v>208</v>
      </c>
      <c r="D10" s="21" t="s">
        <v>209</v>
      </c>
      <c r="E10" s="17">
        <v>2</v>
      </c>
      <c r="F10" s="18" t="s">
        <v>195</v>
      </c>
      <c r="G10" s="21"/>
      <c r="H10" s="21"/>
    </row>
    <row r="11" spans="1:8" ht="30" customHeight="1" x14ac:dyDescent="0.2">
      <c r="A11" s="14" t="s">
        <v>204</v>
      </c>
      <c r="B11" s="14" t="s">
        <v>205</v>
      </c>
      <c r="C11" s="15" t="s">
        <v>210</v>
      </c>
      <c r="D11" s="16" t="s">
        <v>211</v>
      </c>
      <c r="E11" s="17">
        <v>2</v>
      </c>
      <c r="F11" s="18" t="s">
        <v>195</v>
      </c>
      <c r="G11" s="16"/>
      <c r="H11" s="16"/>
    </row>
    <row r="12" spans="1:8" ht="30" customHeight="1" x14ac:dyDescent="0.2">
      <c r="A12" s="19" t="s">
        <v>204</v>
      </c>
      <c r="B12" s="19" t="s">
        <v>205</v>
      </c>
      <c r="C12" s="20" t="s">
        <v>212</v>
      </c>
      <c r="D12" s="21" t="s">
        <v>213</v>
      </c>
      <c r="E12" s="17">
        <v>2</v>
      </c>
      <c r="F12" s="18" t="s">
        <v>195</v>
      </c>
      <c r="G12" s="21"/>
      <c r="H12" s="21"/>
    </row>
    <row r="13" spans="1:8" ht="30" customHeight="1" x14ac:dyDescent="0.2">
      <c r="A13" s="14" t="s">
        <v>204</v>
      </c>
      <c r="B13" s="14" t="s">
        <v>205</v>
      </c>
      <c r="C13" s="15" t="s">
        <v>214</v>
      </c>
      <c r="D13" s="16" t="s">
        <v>215</v>
      </c>
      <c r="E13" s="23">
        <v>3</v>
      </c>
      <c r="F13" s="18" t="s">
        <v>195</v>
      </c>
      <c r="G13" s="16"/>
      <c r="H13" s="16"/>
    </row>
    <row r="14" spans="1:8" ht="18" customHeight="1" x14ac:dyDescent="0.2">
      <c r="A14" s="13" t="s">
        <v>216</v>
      </c>
      <c r="B14" s="13" t="s">
        <v>217</v>
      </c>
      <c r="C14" s="13"/>
      <c r="D14" s="13"/>
      <c r="E14" s="13"/>
      <c r="F14" s="13"/>
      <c r="G14" s="13"/>
      <c r="H14" s="13"/>
    </row>
    <row r="15" spans="1:8" ht="30" customHeight="1" x14ac:dyDescent="0.2">
      <c r="A15" s="14" t="s">
        <v>216</v>
      </c>
      <c r="B15" s="14" t="s">
        <v>217</v>
      </c>
      <c r="C15" s="15" t="s">
        <v>218</v>
      </c>
      <c r="D15" s="16" t="s">
        <v>219</v>
      </c>
      <c r="E15" s="22">
        <v>1</v>
      </c>
      <c r="F15" s="18" t="s">
        <v>195</v>
      </c>
      <c r="G15" s="16"/>
      <c r="H15" s="16"/>
    </row>
    <row r="16" spans="1:8" ht="30" customHeight="1" x14ac:dyDescent="0.2">
      <c r="A16" s="19" t="s">
        <v>216</v>
      </c>
      <c r="B16" s="19" t="s">
        <v>217</v>
      </c>
      <c r="C16" s="20" t="s">
        <v>220</v>
      </c>
      <c r="D16" s="21" t="s">
        <v>221</v>
      </c>
      <c r="E16" s="22">
        <v>1</v>
      </c>
      <c r="F16" s="18" t="s">
        <v>195</v>
      </c>
      <c r="G16" s="21"/>
      <c r="H16" s="21"/>
    </row>
    <row r="17" spans="1:8" ht="30" customHeight="1" x14ac:dyDescent="0.2">
      <c r="A17" s="14" t="s">
        <v>216</v>
      </c>
      <c r="B17" s="14" t="s">
        <v>217</v>
      </c>
      <c r="C17" s="15" t="s">
        <v>222</v>
      </c>
      <c r="D17" s="16" t="s">
        <v>223</v>
      </c>
      <c r="E17" s="17">
        <v>2</v>
      </c>
      <c r="F17" s="18" t="s">
        <v>195</v>
      </c>
      <c r="G17" s="16"/>
      <c r="H17" s="16"/>
    </row>
    <row r="18" spans="1:8" ht="30" customHeight="1" x14ac:dyDescent="0.2">
      <c r="A18" s="19" t="s">
        <v>216</v>
      </c>
      <c r="B18" s="19" t="s">
        <v>217</v>
      </c>
      <c r="C18" s="20" t="s">
        <v>224</v>
      </c>
      <c r="D18" s="21" t="s">
        <v>225</v>
      </c>
      <c r="E18" s="17">
        <v>2</v>
      </c>
      <c r="F18" s="18" t="s">
        <v>195</v>
      </c>
      <c r="G18" s="21"/>
      <c r="H18" s="21"/>
    </row>
    <row r="19" spans="1:8" ht="30" customHeight="1" x14ac:dyDescent="0.2">
      <c r="A19" s="14" t="s">
        <v>216</v>
      </c>
      <c r="B19" s="14" t="s">
        <v>217</v>
      </c>
      <c r="C19" s="15" t="s">
        <v>226</v>
      </c>
      <c r="D19" s="16" t="s">
        <v>227</v>
      </c>
      <c r="E19" s="17">
        <v>2</v>
      </c>
      <c r="F19" s="18" t="s">
        <v>195</v>
      </c>
      <c r="G19" s="16"/>
      <c r="H19" s="16"/>
    </row>
    <row r="20" spans="1:8" ht="30" customHeight="1" x14ac:dyDescent="0.2">
      <c r="A20" s="19" t="s">
        <v>216</v>
      </c>
      <c r="B20" s="19" t="s">
        <v>217</v>
      </c>
      <c r="C20" s="20" t="s">
        <v>228</v>
      </c>
      <c r="D20" s="21" t="s">
        <v>229</v>
      </c>
      <c r="E20" s="17">
        <v>2</v>
      </c>
      <c r="F20" s="18" t="s">
        <v>195</v>
      </c>
      <c r="G20" s="21"/>
      <c r="H20" s="21"/>
    </row>
    <row r="21" spans="1:8" ht="30" customHeight="1" x14ac:dyDescent="0.2">
      <c r="A21" s="14" t="s">
        <v>216</v>
      </c>
      <c r="B21" s="14" t="s">
        <v>217</v>
      </c>
      <c r="C21" s="15" t="s">
        <v>230</v>
      </c>
      <c r="D21" s="16" t="s">
        <v>231</v>
      </c>
      <c r="E21" s="23">
        <v>3</v>
      </c>
      <c r="F21" s="18" t="s">
        <v>195</v>
      </c>
      <c r="G21" s="16"/>
      <c r="H21" s="16"/>
    </row>
    <row r="22" spans="1:8" ht="30" customHeight="1" x14ac:dyDescent="0.2">
      <c r="A22" s="19" t="s">
        <v>216</v>
      </c>
      <c r="B22" s="19" t="s">
        <v>217</v>
      </c>
      <c r="C22" s="20" t="s">
        <v>232</v>
      </c>
      <c r="D22" s="21" t="s">
        <v>233</v>
      </c>
      <c r="E22" s="23">
        <v>3</v>
      </c>
      <c r="F22" s="18" t="s">
        <v>195</v>
      </c>
      <c r="G22" s="21"/>
      <c r="H22" s="21"/>
    </row>
    <row r="23" spans="1:8" ht="18" customHeight="1" x14ac:dyDescent="0.2">
      <c r="A23" s="13" t="s">
        <v>234</v>
      </c>
      <c r="B23" s="13" t="s">
        <v>235</v>
      </c>
      <c r="C23" s="13"/>
      <c r="D23" s="13"/>
      <c r="E23" s="13"/>
      <c r="F23" s="13"/>
      <c r="G23" s="13"/>
      <c r="H23" s="13"/>
    </row>
    <row r="24" spans="1:8" ht="30" customHeight="1" x14ac:dyDescent="0.2">
      <c r="A24" s="14" t="s">
        <v>234</v>
      </c>
      <c r="B24" s="14" t="s">
        <v>235</v>
      </c>
      <c r="C24" s="15" t="s">
        <v>236</v>
      </c>
      <c r="D24" s="16" t="s">
        <v>237</v>
      </c>
      <c r="E24" s="22">
        <v>1</v>
      </c>
      <c r="F24" s="18" t="s">
        <v>195</v>
      </c>
      <c r="G24" s="16"/>
      <c r="H24" s="16"/>
    </row>
    <row r="25" spans="1:8" ht="30" customHeight="1" x14ac:dyDescent="0.2">
      <c r="A25" s="19" t="s">
        <v>234</v>
      </c>
      <c r="B25" s="19" t="s">
        <v>235</v>
      </c>
      <c r="C25" s="20" t="s">
        <v>238</v>
      </c>
      <c r="D25" s="21" t="s">
        <v>239</v>
      </c>
      <c r="E25" s="22">
        <v>1</v>
      </c>
      <c r="F25" s="18" t="s">
        <v>195</v>
      </c>
      <c r="G25" s="21"/>
      <c r="H25" s="21"/>
    </row>
    <row r="26" spans="1:8" ht="30" customHeight="1" x14ac:dyDescent="0.2">
      <c r="A26" s="14" t="s">
        <v>234</v>
      </c>
      <c r="B26" s="14" t="s">
        <v>235</v>
      </c>
      <c r="C26" s="15" t="s">
        <v>240</v>
      </c>
      <c r="D26" s="16" t="s">
        <v>241</v>
      </c>
      <c r="E26" s="22">
        <v>1</v>
      </c>
      <c r="F26" s="18" t="s">
        <v>195</v>
      </c>
      <c r="G26" s="16"/>
      <c r="H26" s="16"/>
    </row>
    <row r="27" spans="1:8" ht="30" customHeight="1" x14ac:dyDescent="0.2">
      <c r="A27" s="19" t="s">
        <v>234</v>
      </c>
      <c r="B27" s="19" t="s">
        <v>235</v>
      </c>
      <c r="C27" s="20" t="s">
        <v>242</v>
      </c>
      <c r="D27" s="21" t="s">
        <v>243</v>
      </c>
      <c r="E27" s="17">
        <v>2</v>
      </c>
      <c r="F27" s="18" t="s">
        <v>195</v>
      </c>
      <c r="G27" s="21"/>
      <c r="H27" s="21"/>
    </row>
    <row r="28" spans="1:8" ht="30" customHeight="1" x14ac:dyDescent="0.2">
      <c r="A28" s="14" t="s">
        <v>234</v>
      </c>
      <c r="B28" s="14" t="s">
        <v>235</v>
      </c>
      <c r="C28" s="15" t="s">
        <v>244</v>
      </c>
      <c r="D28" s="16" t="s">
        <v>245</v>
      </c>
      <c r="E28" s="17">
        <v>2</v>
      </c>
      <c r="F28" s="18" t="s">
        <v>195</v>
      </c>
      <c r="G28" s="16"/>
      <c r="H28" s="16"/>
    </row>
    <row r="29" spans="1:8" ht="30" customHeight="1" x14ac:dyDescent="0.2">
      <c r="A29" s="19" t="s">
        <v>234</v>
      </c>
      <c r="B29" s="19" t="s">
        <v>235</v>
      </c>
      <c r="C29" s="20" t="s">
        <v>246</v>
      </c>
      <c r="D29" s="21" t="s">
        <v>247</v>
      </c>
      <c r="E29" s="23">
        <v>3</v>
      </c>
      <c r="F29" s="18" t="s">
        <v>195</v>
      </c>
      <c r="G29" s="21"/>
      <c r="H29" s="21"/>
    </row>
    <row r="30" spans="1:8" ht="30" customHeight="1" x14ac:dyDescent="0.2">
      <c r="A30" s="14" t="s">
        <v>234</v>
      </c>
      <c r="B30" s="14" t="s">
        <v>235</v>
      </c>
      <c r="C30" s="15" t="s">
        <v>248</v>
      </c>
      <c r="D30" s="16" t="s">
        <v>249</v>
      </c>
      <c r="E30" s="23">
        <v>3</v>
      </c>
      <c r="F30" s="18" t="s">
        <v>195</v>
      </c>
      <c r="G30" s="16"/>
      <c r="H30" s="16"/>
    </row>
    <row r="31" spans="1:8" ht="30" customHeight="1" x14ac:dyDescent="0.2">
      <c r="A31" s="19" t="s">
        <v>234</v>
      </c>
      <c r="B31" s="19" t="s">
        <v>235</v>
      </c>
      <c r="C31" s="20" t="s">
        <v>250</v>
      </c>
      <c r="D31" s="21" t="s">
        <v>251</v>
      </c>
      <c r="E31" s="23">
        <v>3</v>
      </c>
      <c r="F31" s="18" t="s">
        <v>195</v>
      </c>
      <c r="G31" s="21"/>
      <c r="H31" s="21"/>
    </row>
    <row r="32" spans="1:8" ht="18" customHeight="1" x14ac:dyDescent="0.2">
      <c r="A32" s="13" t="s">
        <v>252</v>
      </c>
      <c r="B32" s="13" t="s">
        <v>253</v>
      </c>
      <c r="C32" s="13"/>
      <c r="D32" s="13"/>
      <c r="E32" s="13"/>
      <c r="F32" s="13"/>
      <c r="G32" s="13"/>
      <c r="H32" s="13"/>
    </row>
    <row r="33" spans="1:8" ht="30" customHeight="1" x14ac:dyDescent="0.2">
      <c r="A33" s="14" t="s">
        <v>252</v>
      </c>
      <c r="B33" s="14" t="s">
        <v>253</v>
      </c>
      <c r="C33" s="15" t="s">
        <v>254</v>
      </c>
      <c r="D33" s="16" t="s">
        <v>255</v>
      </c>
      <c r="E33" s="23">
        <v>3</v>
      </c>
      <c r="F33" s="18" t="s">
        <v>195</v>
      </c>
      <c r="G33" s="16"/>
      <c r="H33" s="16"/>
    </row>
    <row r="34" spans="1:8" ht="18" customHeight="1" x14ac:dyDescent="0.2">
      <c r="A34" s="13" t="s">
        <v>256</v>
      </c>
      <c r="B34" s="13" t="s">
        <v>257</v>
      </c>
      <c r="C34" s="13"/>
      <c r="D34" s="13"/>
      <c r="E34" s="13"/>
      <c r="F34" s="13"/>
      <c r="G34" s="13"/>
      <c r="H34" s="13"/>
    </row>
    <row r="35" spans="1:8" ht="30" customHeight="1" x14ac:dyDescent="0.2">
      <c r="A35" s="14" t="s">
        <v>256</v>
      </c>
      <c r="B35" s="14" t="s">
        <v>257</v>
      </c>
      <c r="C35" s="15" t="s">
        <v>258</v>
      </c>
      <c r="D35" s="16" t="s">
        <v>259</v>
      </c>
      <c r="E35" s="17">
        <v>2</v>
      </c>
      <c r="F35" s="18" t="s">
        <v>195</v>
      </c>
      <c r="G35" s="16"/>
      <c r="H35" s="16"/>
    </row>
    <row r="36" spans="1:8" ht="30" customHeight="1" x14ac:dyDescent="0.2">
      <c r="A36" s="19" t="s">
        <v>256</v>
      </c>
      <c r="B36" s="19" t="s">
        <v>257</v>
      </c>
      <c r="C36" s="20" t="s">
        <v>260</v>
      </c>
      <c r="D36" s="21" t="s">
        <v>261</v>
      </c>
      <c r="E36" s="17">
        <v>2</v>
      </c>
      <c r="F36" s="18" t="s">
        <v>195</v>
      </c>
      <c r="G36" s="21"/>
      <c r="H36" s="21"/>
    </row>
    <row r="37" spans="1:8" ht="30" customHeight="1" x14ac:dyDescent="0.2">
      <c r="A37" s="14" t="s">
        <v>256</v>
      </c>
      <c r="B37" s="14" t="s">
        <v>257</v>
      </c>
      <c r="C37" s="15" t="s">
        <v>262</v>
      </c>
      <c r="D37" s="16" t="s">
        <v>263</v>
      </c>
      <c r="E37" s="23">
        <v>3</v>
      </c>
      <c r="F37" s="18" t="s">
        <v>195</v>
      </c>
      <c r="G37" s="16"/>
      <c r="H37" s="16"/>
    </row>
    <row r="38" spans="1:8" ht="30" customHeight="1" x14ac:dyDescent="0.2">
      <c r="A38" s="19" t="s">
        <v>256</v>
      </c>
      <c r="B38" s="19" t="s">
        <v>257</v>
      </c>
      <c r="C38" s="20" t="s">
        <v>264</v>
      </c>
      <c r="D38" s="21" t="s">
        <v>265</v>
      </c>
      <c r="E38" s="23">
        <v>3</v>
      </c>
      <c r="F38" s="18" t="s">
        <v>195</v>
      </c>
      <c r="G38" s="21"/>
      <c r="H38" s="21"/>
    </row>
    <row r="39" spans="1:8" ht="30" customHeight="1" x14ac:dyDescent="0.2">
      <c r="A39" s="14" t="s">
        <v>256</v>
      </c>
      <c r="B39" s="14" t="s">
        <v>257</v>
      </c>
      <c r="C39" s="15" t="s">
        <v>266</v>
      </c>
      <c r="D39" s="16" t="s">
        <v>267</v>
      </c>
      <c r="E39" s="23">
        <v>3</v>
      </c>
      <c r="F39" s="18" t="s">
        <v>195</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B1" zoomScale="125" zoomScaleNormal="75" workbookViewId="0">
      <pane ySplit="1" topLeftCell="A8" activePane="bottomLeft" state="frozen"/>
      <selection pane="bottomLeft" activeCell="H14" sqref="H1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268</v>
      </c>
      <c r="B2" s="13" t="s">
        <v>269</v>
      </c>
      <c r="C2" s="13"/>
      <c r="D2" s="13"/>
      <c r="E2" s="13"/>
      <c r="F2" s="13"/>
      <c r="G2" s="13"/>
      <c r="H2" s="13"/>
    </row>
    <row r="3" spans="1:8" ht="30" customHeight="1" x14ac:dyDescent="0.2">
      <c r="A3" s="14" t="s">
        <v>268</v>
      </c>
      <c r="B3" s="14" t="s">
        <v>269</v>
      </c>
      <c r="C3" s="15" t="s">
        <v>270</v>
      </c>
      <c r="D3" s="16" t="s">
        <v>271</v>
      </c>
      <c r="E3" s="22">
        <v>1</v>
      </c>
      <c r="F3" s="18" t="s">
        <v>45</v>
      </c>
      <c r="G3" s="16" t="s">
        <v>272</v>
      </c>
      <c r="H3" s="16" t="s">
        <v>65</v>
      </c>
    </row>
    <row r="4" spans="1:8" ht="30" customHeight="1" x14ac:dyDescent="0.2">
      <c r="A4" s="19" t="s">
        <v>268</v>
      </c>
      <c r="B4" s="19" t="s">
        <v>269</v>
      </c>
      <c r="C4" s="20" t="s">
        <v>273</v>
      </c>
      <c r="D4" s="21" t="s">
        <v>274</v>
      </c>
      <c r="E4" s="17">
        <v>2</v>
      </c>
      <c r="F4" s="18" t="s">
        <v>76</v>
      </c>
      <c r="G4" s="21"/>
      <c r="H4" s="21"/>
    </row>
    <row r="5" spans="1:8" ht="30" customHeight="1" x14ac:dyDescent="0.2">
      <c r="A5" s="14" t="s">
        <v>268</v>
      </c>
      <c r="B5" s="14" t="s">
        <v>269</v>
      </c>
      <c r="C5" s="15" t="s">
        <v>275</v>
      </c>
      <c r="D5" s="16" t="s">
        <v>276</v>
      </c>
      <c r="E5" s="17">
        <v>2</v>
      </c>
      <c r="F5" s="18" t="s">
        <v>56</v>
      </c>
      <c r="G5" s="21" t="s">
        <v>277</v>
      </c>
      <c r="H5" s="16"/>
    </row>
    <row r="6" spans="1:8" ht="30" customHeight="1" x14ac:dyDescent="0.2">
      <c r="A6" s="19" t="s">
        <v>268</v>
      </c>
      <c r="B6" s="19" t="s">
        <v>269</v>
      </c>
      <c r="C6" s="20" t="s">
        <v>278</v>
      </c>
      <c r="D6" s="21" t="s">
        <v>279</v>
      </c>
      <c r="E6" s="23">
        <v>3</v>
      </c>
      <c r="F6" s="18" t="s">
        <v>56</v>
      </c>
      <c r="G6" s="16" t="s">
        <v>280</v>
      </c>
      <c r="H6" s="21"/>
    </row>
    <row r="7" spans="1:8" ht="30" customHeight="1" x14ac:dyDescent="0.2">
      <c r="A7" s="14" t="s">
        <v>268</v>
      </c>
      <c r="B7" s="14" t="s">
        <v>269</v>
      </c>
      <c r="C7" s="15" t="s">
        <v>281</v>
      </c>
      <c r="D7" s="16" t="s">
        <v>282</v>
      </c>
      <c r="E7" s="23">
        <v>3</v>
      </c>
      <c r="F7" s="18" t="s">
        <v>195</v>
      </c>
      <c r="G7" s="16"/>
      <c r="H7" s="16"/>
    </row>
    <row r="8" spans="1:8" ht="18" customHeight="1" x14ac:dyDescent="0.2">
      <c r="A8" s="13" t="s">
        <v>283</v>
      </c>
      <c r="B8" s="13" t="s">
        <v>284</v>
      </c>
      <c r="C8" s="13"/>
      <c r="D8" s="13"/>
      <c r="E8" s="13"/>
      <c r="F8" s="13"/>
      <c r="G8" s="13"/>
      <c r="H8" s="13"/>
    </row>
    <row r="9" spans="1:8" ht="30" customHeight="1" x14ac:dyDescent="0.2">
      <c r="A9" s="14" t="s">
        <v>283</v>
      </c>
      <c r="B9" s="14" t="s">
        <v>284</v>
      </c>
      <c r="C9" s="15" t="s">
        <v>285</v>
      </c>
      <c r="D9" s="16" t="s">
        <v>286</v>
      </c>
      <c r="E9" s="17">
        <v>2</v>
      </c>
      <c r="F9" s="18" t="s">
        <v>45</v>
      </c>
      <c r="G9" t="s">
        <v>287</v>
      </c>
      <c r="H9" s="16" t="s">
        <v>288</v>
      </c>
    </row>
    <row r="10" spans="1:8" ht="30" customHeight="1" x14ac:dyDescent="0.2">
      <c r="A10" s="19" t="s">
        <v>283</v>
      </c>
      <c r="B10" s="19" t="s">
        <v>284</v>
      </c>
      <c r="C10" s="20" t="s">
        <v>289</v>
      </c>
      <c r="D10" s="21" t="s">
        <v>290</v>
      </c>
      <c r="E10" s="23">
        <v>3</v>
      </c>
      <c r="F10" s="18" t="s">
        <v>45</v>
      </c>
      <c r="G10" s="21" t="s">
        <v>291</v>
      </c>
      <c r="H10" s="21"/>
    </row>
    <row r="11" spans="1:8" ht="30" customHeight="1" x14ac:dyDescent="0.2">
      <c r="A11" s="14" t="s">
        <v>283</v>
      </c>
      <c r="B11" s="14" t="s">
        <v>284</v>
      </c>
      <c r="C11" s="15" t="s">
        <v>292</v>
      </c>
      <c r="D11" s="16" t="s">
        <v>293</v>
      </c>
      <c r="E11" s="23">
        <v>3</v>
      </c>
      <c r="F11" s="18" t="s">
        <v>45</v>
      </c>
      <c r="G11" s="16" t="s">
        <v>294</v>
      </c>
      <c r="H11" s="16"/>
    </row>
    <row r="12" spans="1:8" ht="30" customHeight="1" x14ac:dyDescent="0.2">
      <c r="A12" s="19" t="s">
        <v>283</v>
      </c>
      <c r="B12" s="19" t="s">
        <v>284</v>
      </c>
      <c r="C12" s="20" t="s">
        <v>295</v>
      </c>
      <c r="D12" s="21" t="s">
        <v>296</v>
      </c>
      <c r="E12" s="23">
        <v>3</v>
      </c>
      <c r="F12" s="18" t="s">
        <v>45</v>
      </c>
      <c r="G12" s="21" t="s">
        <v>297</v>
      </c>
      <c r="H12" s="21"/>
    </row>
    <row r="13" spans="1:8" ht="30" customHeight="1" x14ac:dyDescent="0.2">
      <c r="A13" s="14" t="s">
        <v>283</v>
      </c>
      <c r="B13" s="14" t="s">
        <v>284</v>
      </c>
      <c r="C13" s="15" t="s">
        <v>298</v>
      </c>
      <c r="D13" s="16" t="s">
        <v>299</v>
      </c>
      <c r="E13" s="23">
        <v>3</v>
      </c>
      <c r="F13" s="18" t="s">
        <v>56</v>
      </c>
      <c r="G13" s="16" t="s">
        <v>300</v>
      </c>
      <c r="H13" s="16"/>
    </row>
    <row r="14" spans="1:8" ht="18" customHeight="1" x14ac:dyDescent="0.2">
      <c r="A14" s="13" t="s">
        <v>301</v>
      </c>
      <c r="B14" s="13" t="s">
        <v>302</v>
      </c>
      <c r="C14" s="13"/>
      <c r="D14" s="13"/>
      <c r="E14" s="13"/>
      <c r="F14" s="13"/>
      <c r="G14" s="13"/>
      <c r="H14" s="13"/>
    </row>
    <row r="15" spans="1:8" ht="30" customHeight="1" x14ac:dyDescent="0.2">
      <c r="A15" s="14" t="s">
        <v>301</v>
      </c>
      <c r="B15" s="14" t="s">
        <v>302</v>
      </c>
      <c r="C15" s="15" t="s">
        <v>303</v>
      </c>
      <c r="D15" s="16" t="s">
        <v>304</v>
      </c>
      <c r="E15" s="17">
        <v>2</v>
      </c>
      <c r="F15" s="18" t="s">
        <v>76</v>
      </c>
      <c r="G15" s="16" t="s">
        <v>305</v>
      </c>
      <c r="H15" s="16"/>
    </row>
    <row r="16" spans="1:8" ht="30" customHeight="1" x14ac:dyDescent="0.2">
      <c r="A16" s="19" t="s">
        <v>301</v>
      </c>
      <c r="B16" s="19" t="s">
        <v>302</v>
      </c>
      <c r="C16" s="20" t="s">
        <v>306</v>
      </c>
      <c r="D16" s="21" t="s">
        <v>307</v>
      </c>
      <c r="E16" s="17">
        <v>2</v>
      </c>
      <c r="F16" s="18" t="s">
        <v>76</v>
      </c>
      <c r="G16" s="21"/>
      <c r="H16" s="21"/>
    </row>
    <row r="17" spans="1:8" ht="18" customHeight="1" x14ac:dyDescent="0.2">
      <c r="A17" s="13" t="s">
        <v>308</v>
      </c>
      <c r="B17" s="13" t="s">
        <v>309</v>
      </c>
      <c r="C17" s="13"/>
      <c r="D17" s="13"/>
      <c r="E17" s="13"/>
      <c r="F17" s="13"/>
      <c r="G17" s="13"/>
      <c r="H17" s="13"/>
    </row>
    <row r="18" spans="1:8" ht="30" customHeight="1" x14ac:dyDescent="0.2">
      <c r="A18" s="14" t="s">
        <v>308</v>
      </c>
      <c r="B18" s="14" t="s">
        <v>309</v>
      </c>
      <c r="C18" s="15" t="s">
        <v>310</v>
      </c>
      <c r="D18" s="16" t="s">
        <v>311</v>
      </c>
      <c r="E18" s="22">
        <v>1</v>
      </c>
      <c r="F18" s="18" t="s">
        <v>76</v>
      </c>
      <c r="G18" s="16" t="s">
        <v>312</v>
      </c>
      <c r="H18" s="16"/>
    </row>
    <row r="19" spans="1:8" ht="30" customHeight="1" x14ac:dyDescent="0.2">
      <c r="A19" s="19" t="s">
        <v>308</v>
      </c>
      <c r="B19" s="19" t="s">
        <v>309</v>
      </c>
      <c r="C19" s="20" t="s">
        <v>313</v>
      </c>
      <c r="D19" s="21" t="s">
        <v>314</v>
      </c>
      <c r="E19" s="17">
        <v>2</v>
      </c>
      <c r="F19" s="18" t="s">
        <v>76</v>
      </c>
      <c r="G19" s="21"/>
      <c r="H19" s="21"/>
    </row>
    <row r="20" spans="1:8" ht="30" customHeight="1" x14ac:dyDescent="0.2">
      <c r="A20" s="14" t="s">
        <v>308</v>
      </c>
      <c r="B20" s="14" t="s">
        <v>309</v>
      </c>
      <c r="C20" s="15" t="s">
        <v>315</v>
      </c>
      <c r="D20" s="16" t="s">
        <v>316</v>
      </c>
      <c r="E20" s="17">
        <v>2</v>
      </c>
      <c r="F20" s="18" t="s">
        <v>76</v>
      </c>
      <c r="G20" s="16"/>
      <c r="H20" s="16"/>
    </row>
    <row r="21" spans="1:8" ht="30" customHeight="1" x14ac:dyDescent="0.2">
      <c r="A21" s="19" t="s">
        <v>308</v>
      </c>
      <c r="B21" s="19" t="s">
        <v>309</v>
      </c>
      <c r="C21" s="20" t="s">
        <v>317</v>
      </c>
      <c r="D21" s="21" t="s">
        <v>318</v>
      </c>
      <c r="E21" s="17">
        <v>2</v>
      </c>
      <c r="F21" s="18" t="s">
        <v>76</v>
      </c>
      <c r="G21" s="21"/>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125" zoomScaleNormal="75" workbookViewId="0">
      <pane ySplit="1" topLeftCell="A2" activePane="bottomLeft" state="frozen"/>
      <selection pane="bottomLeft" activeCell="E7" sqref="E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319</v>
      </c>
      <c r="B2" s="13" t="s">
        <v>320</v>
      </c>
      <c r="C2" s="13"/>
      <c r="D2" s="13"/>
      <c r="E2" s="13"/>
      <c r="F2" s="13"/>
      <c r="G2" s="13"/>
      <c r="H2" s="13"/>
    </row>
    <row r="3" spans="1:8" ht="30" customHeight="1" x14ac:dyDescent="0.2">
      <c r="A3" s="14" t="s">
        <v>319</v>
      </c>
      <c r="B3" s="14" t="s">
        <v>320</v>
      </c>
      <c r="C3" s="15" t="s">
        <v>321</v>
      </c>
      <c r="D3" s="16" t="s">
        <v>322</v>
      </c>
      <c r="E3" s="17">
        <v>2</v>
      </c>
      <c r="F3" s="18" t="s">
        <v>195</v>
      </c>
      <c r="G3" s="16" t="s">
        <v>323</v>
      </c>
      <c r="H3" s="16"/>
    </row>
    <row r="4" spans="1:8" ht="18" customHeight="1" x14ac:dyDescent="0.2">
      <c r="A4" s="13" t="s">
        <v>324</v>
      </c>
      <c r="B4" s="13" t="s">
        <v>325</v>
      </c>
      <c r="C4" s="13"/>
      <c r="D4" s="13"/>
      <c r="E4" s="13"/>
      <c r="F4" s="13"/>
      <c r="G4" s="13"/>
      <c r="H4" s="13"/>
    </row>
    <row r="5" spans="1:8" ht="30" customHeight="1" x14ac:dyDescent="0.2">
      <c r="A5" s="14" t="s">
        <v>324</v>
      </c>
      <c r="B5" s="14" t="s">
        <v>325</v>
      </c>
      <c r="C5" s="15" t="s">
        <v>326</v>
      </c>
      <c r="D5" s="16" t="s">
        <v>327</v>
      </c>
      <c r="E5" s="22">
        <v>1</v>
      </c>
      <c r="F5" s="18" t="s">
        <v>195</v>
      </c>
      <c r="G5" s="16" t="s">
        <v>328</v>
      </c>
      <c r="H5" s="16"/>
    </row>
    <row r="6" spans="1:8" ht="30" customHeight="1" x14ac:dyDescent="0.2">
      <c r="A6" s="19" t="s">
        <v>324</v>
      </c>
      <c r="B6" s="19" t="s">
        <v>325</v>
      </c>
      <c r="C6" s="20" t="s">
        <v>329</v>
      </c>
      <c r="D6" s="21" t="s">
        <v>330</v>
      </c>
      <c r="E6" s="22">
        <v>1</v>
      </c>
      <c r="F6" s="18" t="s">
        <v>195</v>
      </c>
      <c r="G6" s="16" t="s">
        <v>328</v>
      </c>
      <c r="H6" s="21"/>
    </row>
    <row r="7" spans="1:8" ht="30" customHeight="1" x14ac:dyDescent="0.2">
      <c r="A7" s="14" t="s">
        <v>324</v>
      </c>
      <c r="B7" s="14" t="s">
        <v>325</v>
      </c>
      <c r="C7" s="15" t="s">
        <v>331</v>
      </c>
      <c r="D7" s="16" t="s">
        <v>332</v>
      </c>
      <c r="E7" s="17">
        <v>2</v>
      </c>
      <c r="F7" s="18" t="s">
        <v>76</v>
      </c>
      <c r="G7" s="16" t="s">
        <v>333</v>
      </c>
      <c r="H7" s="16"/>
    </row>
    <row r="8" spans="1:8" ht="30" customHeight="1" x14ac:dyDescent="0.2">
      <c r="A8" s="19" t="s">
        <v>324</v>
      </c>
      <c r="B8" s="19" t="s">
        <v>325</v>
      </c>
      <c r="C8" s="20" t="s">
        <v>334</v>
      </c>
      <c r="D8" s="21" t="s">
        <v>335</v>
      </c>
      <c r="E8" s="23">
        <v>3</v>
      </c>
      <c r="F8" s="18" t="s">
        <v>195</v>
      </c>
      <c r="G8" s="16" t="s">
        <v>328</v>
      </c>
      <c r="H8" s="21"/>
    </row>
    <row r="9" spans="1:8" ht="30" customHeight="1" x14ac:dyDescent="0.2">
      <c r="A9" s="14" t="s">
        <v>324</v>
      </c>
      <c r="B9" s="14" t="s">
        <v>325</v>
      </c>
      <c r="C9" s="15" t="s">
        <v>336</v>
      </c>
      <c r="D9" s="16" t="s">
        <v>337</v>
      </c>
      <c r="E9" s="23">
        <v>3</v>
      </c>
      <c r="F9" s="18" t="s">
        <v>76</v>
      </c>
      <c r="G9" s="16" t="s">
        <v>333</v>
      </c>
      <c r="H9" s="16"/>
    </row>
    <row r="10" spans="1:8" ht="30" customHeight="1" x14ac:dyDescent="0.2">
      <c r="A10" s="19" t="s">
        <v>324</v>
      </c>
      <c r="B10" s="19" t="s">
        <v>325</v>
      </c>
      <c r="C10" s="20" t="s">
        <v>338</v>
      </c>
      <c r="D10" s="21" t="s">
        <v>339</v>
      </c>
      <c r="E10" s="23">
        <v>3</v>
      </c>
      <c r="F10" s="18" t="s">
        <v>195</v>
      </c>
      <c r="G10" s="16" t="s">
        <v>328</v>
      </c>
      <c r="H10" s="21"/>
    </row>
    <row r="11" spans="1:8" ht="18" customHeight="1" x14ac:dyDescent="0.2">
      <c r="A11" s="13" t="s">
        <v>340</v>
      </c>
      <c r="B11" s="13" t="s">
        <v>341</v>
      </c>
      <c r="C11" s="13"/>
      <c r="D11" s="13"/>
      <c r="E11" s="13"/>
      <c r="F11" s="13"/>
      <c r="G11" s="13"/>
      <c r="H11" s="13"/>
    </row>
    <row r="12" spans="1:8" ht="30" customHeight="1" x14ac:dyDescent="0.2">
      <c r="A12" s="14" t="s">
        <v>340</v>
      </c>
      <c r="B12" s="14" t="s">
        <v>341</v>
      </c>
      <c r="C12" s="15" t="s">
        <v>342</v>
      </c>
      <c r="D12" s="16" t="s">
        <v>343</v>
      </c>
      <c r="E12" s="22">
        <v>1</v>
      </c>
      <c r="F12" s="18" t="s">
        <v>56</v>
      </c>
      <c r="G12" s="16" t="s">
        <v>344</v>
      </c>
      <c r="H12" s="16" t="s">
        <v>345</v>
      </c>
    </row>
    <row r="13" spans="1:8" ht="30" customHeight="1" x14ac:dyDescent="0.2">
      <c r="A13" s="19" t="s">
        <v>340</v>
      </c>
      <c r="B13" s="19" t="s">
        <v>341</v>
      </c>
      <c r="C13" s="20" t="s">
        <v>346</v>
      </c>
      <c r="D13" s="21" t="s">
        <v>347</v>
      </c>
      <c r="E13" s="22">
        <v>1</v>
      </c>
      <c r="F13" s="18" t="s">
        <v>45</v>
      </c>
      <c r="G13" s="16" t="s">
        <v>348</v>
      </c>
      <c r="H13" s="16" t="s">
        <v>345</v>
      </c>
    </row>
    <row r="14" spans="1:8" ht="30" customHeight="1" x14ac:dyDescent="0.2">
      <c r="A14" s="14" t="s">
        <v>340</v>
      </c>
      <c r="B14" s="14" t="s">
        <v>341</v>
      </c>
      <c r="C14" s="15" t="s">
        <v>349</v>
      </c>
      <c r="D14" s="16" t="s">
        <v>350</v>
      </c>
      <c r="E14" s="23">
        <v>3</v>
      </c>
      <c r="F14" s="18" t="s">
        <v>76</v>
      </c>
      <c r="G14" s="16" t="s">
        <v>351</v>
      </c>
      <c r="H14" s="16"/>
    </row>
    <row r="15" spans="1:8" ht="18" customHeight="1" x14ac:dyDescent="0.2">
      <c r="A15" s="13" t="s">
        <v>352</v>
      </c>
      <c r="B15" s="13" t="s">
        <v>353</v>
      </c>
      <c r="C15" s="13"/>
      <c r="D15" s="13"/>
      <c r="E15" s="13"/>
      <c r="F15" s="13"/>
      <c r="G15" s="13"/>
      <c r="H15" s="13"/>
    </row>
    <row r="16" spans="1:8" ht="30" customHeight="1" x14ac:dyDescent="0.2">
      <c r="A16" s="14" t="s">
        <v>352</v>
      </c>
      <c r="B16" s="14" t="s">
        <v>353</v>
      </c>
      <c r="C16" s="15" t="s">
        <v>354</v>
      </c>
      <c r="D16" s="16" t="s">
        <v>355</v>
      </c>
      <c r="E16" s="17">
        <v>2</v>
      </c>
      <c r="F16" s="18" t="s">
        <v>76</v>
      </c>
      <c r="G16" s="16" t="s">
        <v>356</v>
      </c>
      <c r="H16" s="16"/>
    </row>
    <row r="17" spans="1:8" ht="30" customHeight="1" x14ac:dyDescent="0.2">
      <c r="A17" s="19" t="s">
        <v>352</v>
      </c>
      <c r="B17" s="19" t="s">
        <v>353</v>
      </c>
      <c r="C17" s="20" t="s">
        <v>357</v>
      </c>
      <c r="D17" s="21" t="s">
        <v>358</v>
      </c>
      <c r="E17" s="17">
        <v>2</v>
      </c>
      <c r="F17" s="18" t="s">
        <v>76</v>
      </c>
      <c r="G17" s="16" t="s">
        <v>356</v>
      </c>
      <c r="H17" s="21"/>
    </row>
    <row r="18" spans="1:8" ht="30" customHeight="1" x14ac:dyDescent="0.2">
      <c r="A18" s="14" t="s">
        <v>352</v>
      </c>
      <c r="B18" s="14" t="s">
        <v>353</v>
      </c>
      <c r="C18" s="15" t="s">
        <v>359</v>
      </c>
      <c r="D18" s="16" t="s">
        <v>360</v>
      </c>
      <c r="E18" s="17">
        <v>2</v>
      </c>
      <c r="F18" s="18" t="s">
        <v>76</v>
      </c>
      <c r="G18" s="16" t="s">
        <v>356</v>
      </c>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90" zoomScaleNormal="75" workbookViewId="0">
      <pane ySplit="1" topLeftCell="A21" activePane="bottomLeft" state="frozen"/>
      <selection pane="bottomLeft" activeCell="G48" sqref="G4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361</v>
      </c>
      <c r="B2" s="13" t="s">
        <v>362</v>
      </c>
      <c r="C2" s="13"/>
      <c r="D2" s="13"/>
      <c r="E2" s="13"/>
      <c r="F2" s="13"/>
      <c r="G2" s="13"/>
      <c r="H2" s="13"/>
    </row>
    <row r="3" spans="1:8" ht="30" customHeight="1" x14ac:dyDescent="0.2">
      <c r="A3" s="14" t="s">
        <v>361</v>
      </c>
      <c r="B3" s="14" t="s">
        <v>362</v>
      </c>
      <c r="C3" s="15" t="s">
        <v>363</v>
      </c>
      <c r="D3" s="16" t="s">
        <v>364</v>
      </c>
      <c r="E3" s="22">
        <v>1</v>
      </c>
      <c r="F3" s="18" t="s">
        <v>56</v>
      </c>
      <c r="G3" s="16" t="s">
        <v>365</v>
      </c>
      <c r="H3" s="16" t="s">
        <v>172</v>
      </c>
    </row>
    <row r="4" spans="1:8" ht="30" customHeight="1" x14ac:dyDescent="0.2">
      <c r="A4" s="19" t="s">
        <v>361</v>
      </c>
      <c r="B4" s="19" t="s">
        <v>362</v>
      </c>
      <c r="C4" s="20" t="s">
        <v>366</v>
      </c>
      <c r="D4" s="21" t="s">
        <v>367</v>
      </c>
      <c r="E4" s="17">
        <v>2</v>
      </c>
      <c r="F4" s="18" t="s">
        <v>56</v>
      </c>
      <c r="G4" s="21" t="s">
        <v>368</v>
      </c>
      <c r="H4" s="21"/>
    </row>
    <row r="5" spans="1:8" ht="30" customHeight="1" x14ac:dyDescent="0.2">
      <c r="A5" s="14" t="s">
        <v>361</v>
      </c>
      <c r="B5" s="14" t="s">
        <v>362</v>
      </c>
      <c r="C5" s="15" t="s">
        <v>369</v>
      </c>
      <c r="D5" s="16" t="s">
        <v>370</v>
      </c>
      <c r="E5" s="17">
        <v>2</v>
      </c>
      <c r="F5" s="18" t="s">
        <v>45</v>
      </c>
      <c r="G5" s="16" t="s">
        <v>371</v>
      </c>
      <c r="H5" s="16" t="s">
        <v>372</v>
      </c>
    </row>
    <row r="6" spans="1:8" ht="18" customHeight="1" x14ac:dyDescent="0.2">
      <c r="A6" s="13" t="s">
        <v>373</v>
      </c>
      <c r="B6" s="13" t="s">
        <v>374</v>
      </c>
      <c r="C6" s="13"/>
      <c r="D6" s="13"/>
      <c r="E6" s="13"/>
      <c r="F6" s="13"/>
      <c r="G6" s="13"/>
      <c r="H6" s="13"/>
    </row>
    <row r="7" spans="1:8" ht="30" customHeight="1" x14ac:dyDescent="0.2">
      <c r="A7" s="14" t="s">
        <v>373</v>
      </c>
      <c r="B7" s="14" t="s">
        <v>374</v>
      </c>
      <c r="C7" s="15" t="s">
        <v>375</v>
      </c>
      <c r="D7" s="16" t="s">
        <v>376</v>
      </c>
      <c r="E7" s="22">
        <v>1</v>
      </c>
      <c r="F7" s="18" t="s">
        <v>45</v>
      </c>
      <c r="G7" s="16" t="s">
        <v>377</v>
      </c>
      <c r="H7" s="16" t="s">
        <v>378</v>
      </c>
    </row>
    <row r="8" spans="1:8" ht="30" customHeight="1" x14ac:dyDescent="0.2">
      <c r="A8" s="19" t="s">
        <v>373</v>
      </c>
      <c r="B8" s="19" t="s">
        <v>374</v>
      </c>
      <c r="C8" s="20" t="s">
        <v>379</v>
      </c>
      <c r="D8" s="21" t="s">
        <v>380</v>
      </c>
      <c r="E8" s="22">
        <v>1</v>
      </c>
      <c r="F8" s="18" t="s">
        <v>45</v>
      </c>
      <c r="G8" s="21"/>
      <c r="H8" s="21" t="s">
        <v>65</v>
      </c>
    </row>
    <row r="9" spans="1:8" ht="30" customHeight="1" x14ac:dyDescent="0.2">
      <c r="A9" s="14" t="s">
        <v>373</v>
      </c>
      <c r="B9" s="14" t="s">
        <v>374</v>
      </c>
      <c r="C9" s="15" t="s">
        <v>381</v>
      </c>
      <c r="D9" s="16" t="s">
        <v>382</v>
      </c>
      <c r="E9" s="22">
        <v>1</v>
      </c>
      <c r="F9" s="18" t="s">
        <v>45</v>
      </c>
      <c r="G9" s="16"/>
      <c r="H9" s="16" t="s">
        <v>383</v>
      </c>
    </row>
    <row r="10" spans="1:8" ht="30" customHeight="1" x14ac:dyDescent="0.2">
      <c r="A10" s="19" t="s">
        <v>373</v>
      </c>
      <c r="B10" s="19" t="s">
        <v>374</v>
      </c>
      <c r="C10" s="20" t="s">
        <v>384</v>
      </c>
      <c r="D10" s="21" t="s">
        <v>385</v>
      </c>
      <c r="E10" s="22">
        <v>1</v>
      </c>
      <c r="F10" s="18" t="s">
        <v>195</v>
      </c>
      <c r="G10" s="16" t="s">
        <v>386</v>
      </c>
      <c r="H10" s="21"/>
    </row>
    <row r="11" spans="1:8" ht="30" customHeight="1" x14ac:dyDescent="0.2">
      <c r="A11" s="14" t="s">
        <v>373</v>
      </c>
      <c r="B11" s="14" t="s">
        <v>374</v>
      </c>
      <c r="C11" s="15" t="s">
        <v>387</v>
      </c>
      <c r="D11" s="16" t="s">
        <v>388</v>
      </c>
      <c r="E11" s="22">
        <v>1</v>
      </c>
      <c r="F11" s="18" t="s">
        <v>56</v>
      </c>
      <c r="G11" s="16" t="s">
        <v>389</v>
      </c>
      <c r="H11" s="16"/>
    </row>
    <row r="12" spans="1:8" ht="30" customHeight="1" x14ac:dyDescent="0.2">
      <c r="A12" s="19" t="s">
        <v>373</v>
      </c>
      <c r="B12" s="19" t="s">
        <v>374</v>
      </c>
      <c r="C12" s="20" t="s">
        <v>390</v>
      </c>
      <c r="D12" s="21" t="s">
        <v>391</v>
      </c>
      <c r="E12" s="22">
        <v>1</v>
      </c>
      <c r="F12" s="18" t="s">
        <v>56</v>
      </c>
      <c r="G12" s="21" t="s">
        <v>392</v>
      </c>
      <c r="H12" s="21"/>
    </row>
    <row r="13" spans="1:8" ht="30" customHeight="1" x14ac:dyDescent="0.2">
      <c r="A13" s="14" t="s">
        <v>373</v>
      </c>
      <c r="B13" s="14" t="s">
        <v>374</v>
      </c>
      <c r="C13" s="15" t="s">
        <v>393</v>
      </c>
      <c r="D13" s="16" t="s">
        <v>394</v>
      </c>
      <c r="E13" s="22">
        <v>1</v>
      </c>
      <c r="F13" s="18" t="s">
        <v>56</v>
      </c>
      <c r="G13" s="16" t="s">
        <v>395</v>
      </c>
      <c r="H13" s="16"/>
    </row>
    <row r="14" spans="1:8" ht="30" customHeight="1" x14ac:dyDescent="0.2">
      <c r="A14" s="19" t="s">
        <v>373</v>
      </c>
      <c r="B14" s="19" t="s">
        <v>374</v>
      </c>
      <c r="C14" s="20" t="s">
        <v>396</v>
      </c>
      <c r="D14" s="21" t="s">
        <v>397</v>
      </c>
      <c r="E14" s="22">
        <v>1</v>
      </c>
      <c r="F14" s="18" t="s">
        <v>45</v>
      </c>
      <c r="G14" s="21"/>
      <c r="H14" s="21" t="s">
        <v>398</v>
      </c>
    </row>
    <row r="15" spans="1:8" ht="30" customHeight="1" x14ac:dyDescent="0.2">
      <c r="A15" s="14" t="s">
        <v>373</v>
      </c>
      <c r="B15" s="14" t="s">
        <v>374</v>
      </c>
      <c r="C15" s="15" t="s">
        <v>399</v>
      </c>
      <c r="D15" s="16" t="s">
        <v>400</v>
      </c>
      <c r="E15" s="17">
        <v>2</v>
      </c>
      <c r="F15" s="18" t="s">
        <v>45</v>
      </c>
      <c r="G15" s="16"/>
      <c r="H15" s="16" t="s">
        <v>378</v>
      </c>
    </row>
    <row r="16" spans="1:8" ht="30" customHeight="1" x14ac:dyDescent="0.2">
      <c r="A16" s="19" t="s">
        <v>373</v>
      </c>
      <c r="B16" s="19" t="s">
        <v>374</v>
      </c>
      <c r="C16" s="20" t="s">
        <v>401</v>
      </c>
      <c r="D16" s="21" t="s">
        <v>402</v>
      </c>
      <c r="E16" s="17">
        <v>2</v>
      </c>
      <c r="F16" s="18" t="s">
        <v>45</v>
      </c>
      <c r="G16" s="16" t="s">
        <v>403</v>
      </c>
      <c r="H16" s="21"/>
    </row>
    <row r="17" spans="1:8" ht="30" customHeight="1" x14ac:dyDescent="0.2">
      <c r="A17" s="14" t="s">
        <v>373</v>
      </c>
      <c r="B17" s="14" t="s">
        <v>374</v>
      </c>
      <c r="C17" s="15" t="s">
        <v>404</v>
      </c>
      <c r="D17" s="16" t="s">
        <v>405</v>
      </c>
      <c r="E17" s="17">
        <v>2</v>
      </c>
      <c r="F17" s="18" t="s">
        <v>56</v>
      </c>
      <c r="G17" s="16" t="s">
        <v>368</v>
      </c>
      <c r="H17" s="16"/>
    </row>
    <row r="18" spans="1:8" ht="30" customHeight="1" x14ac:dyDescent="0.2">
      <c r="A18" s="19" t="s">
        <v>373</v>
      </c>
      <c r="B18" s="19" t="s">
        <v>374</v>
      </c>
      <c r="C18" s="20" t="s">
        <v>406</v>
      </c>
      <c r="D18" s="21" t="s">
        <v>407</v>
      </c>
      <c r="E18" s="17">
        <v>2</v>
      </c>
      <c r="F18" s="18" t="s">
        <v>56</v>
      </c>
      <c r="G18" s="21" t="s">
        <v>408</v>
      </c>
      <c r="H18" s="21"/>
    </row>
    <row r="19" spans="1:8" ht="18" customHeight="1" x14ac:dyDescent="0.2">
      <c r="A19" s="13" t="s">
        <v>409</v>
      </c>
      <c r="B19" s="13" t="s">
        <v>410</v>
      </c>
      <c r="C19" s="13"/>
      <c r="D19" s="13"/>
      <c r="E19" s="13"/>
      <c r="F19" s="13"/>
      <c r="G19" s="13"/>
      <c r="H19" s="13"/>
    </row>
    <row r="20" spans="1:8" ht="30" customHeight="1" x14ac:dyDescent="0.2">
      <c r="A20" s="14" t="s">
        <v>409</v>
      </c>
      <c r="B20" s="14" t="s">
        <v>410</v>
      </c>
      <c r="C20" s="15" t="s">
        <v>411</v>
      </c>
      <c r="D20" s="16" t="s">
        <v>412</v>
      </c>
      <c r="E20" s="22">
        <v>1</v>
      </c>
      <c r="F20" s="18" t="s">
        <v>56</v>
      </c>
      <c r="G20" s="16" t="s">
        <v>365</v>
      </c>
      <c r="H20" s="16"/>
    </row>
    <row r="21" spans="1:8" ht="30" customHeight="1" x14ac:dyDescent="0.2">
      <c r="A21" s="19" t="s">
        <v>409</v>
      </c>
      <c r="B21" s="19" t="s">
        <v>410</v>
      </c>
      <c r="C21" s="20" t="s">
        <v>413</v>
      </c>
      <c r="D21" s="21" t="s">
        <v>414</v>
      </c>
      <c r="E21" s="22">
        <v>1</v>
      </c>
      <c r="F21" s="18" t="s">
        <v>45</v>
      </c>
      <c r="G21" s="21" t="s">
        <v>415</v>
      </c>
      <c r="H21" s="21" t="s">
        <v>416</v>
      </c>
    </row>
    <row r="22" spans="1:8" ht="30" customHeight="1" x14ac:dyDescent="0.2">
      <c r="A22" s="14" t="s">
        <v>409</v>
      </c>
      <c r="B22" s="14" t="s">
        <v>410</v>
      </c>
      <c r="C22" s="15" t="s">
        <v>417</v>
      </c>
      <c r="D22" s="16" t="s">
        <v>418</v>
      </c>
      <c r="E22" s="17">
        <v>2</v>
      </c>
      <c r="F22" s="18" t="s">
        <v>195</v>
      </c>
      <c r="G22" s="16"/>
      <c r="H22" s="16"/>
    </row>
    <row r="23" spans="1:8" ht="30" customHeight="1" x14ac:dyDescent="0.2">
      <c r="A23" s="19" t="s">
        <v>409</v>
      </c>
      <c r="B23" s="19" t="s">
        <v>410</v>
      </c>
      <c r="C23" s="20" t="s">
        <v>419</v>
      </c>
      <c r="D23" s="21" t="s">
        <v>420</v>
      </c>
      <c r="E23" s="17">
        <v>2</v>
      </c>
      <c r="F23" s="18" t="s">
        <v>56</v>
      </c>
      <c r="G23" s="21" t="s">
        <v>421</v>
      </c>
      <c r="H23" s="21" t="s">
        <v>422</v>
      </c>
    </row>
    <row r="24" spans="1:8" ht="30" customHeight="1" x14ac:dyDescent="0.2">
      <c r="A24" s="14" t="s">
        <v>409</v>
      </c>
      <c r="B24" s="14" t="s">
        <v>410</v>
      </c>
      <c r="C24" s="15" t="s">
        <v>423</v>
      </c>
      <c r="D24" s="16" t="s">
        <v>424</v>
      </c>
      <c r="E24" s="23">
        <v>3</v>
      </c>
      <c r="F24" s="18" t="s">
        <v>195</v>
      </c>
      <c r="G24" s="16" t="s">
        <v>425</v>
      </c>
      <c r="H24" s="16"/>
    </row>
    <row r="25" spans="1:8" ht="30" customHeight="1" x14ac:dyDescent="0.2">
      <c r="A25" s="19" t="s">
        <v>409</v>
      </c>
      <c r="B25" s="19" t="s">
        <v>410</v>
      </c>
      <c r="C25" s="20" t="s">
        <v>426</v>
      </c>
      <c r="D25" s="21" t="s">
        <v>427</v>
      </c>
      <c r="E25" s="23">
        <v>3</v>
      </c>
      <c r="F25" s="18" t="s">
        <v>195</v>
      </c>
      <c r="G25" s="21" t="s">
        <v>428</v>
      </c>
      <c r="H25" s="21"/>
    </row>
    <row r="26" spans="1:8" ht="30" customHeight="1" x14ac:dyDescent="0.2">
      <c r="A26" s="14" t="s">
        <v>409</v>
      </c>
      <c r="B26" s="14" t="s">
        <v>410</v>
      </c>
      <c r="C26" s="15" t="s">
        <v>429</v>
      </c>
      <c r="D26" s="16" t="s">
        <v>430</v>
      </c>
      <c r="E26" s="23">
        <v>3</v>
      </c>
      <c r="F26" s="18" t="s">
        <v>195</v>
      </c>
      <c r="G26" s="16" t="s">
        <v>431</v>
      </c>
      <c r="H26" s="16"/>
    </row>
    <row r="27" spans="1:8" ht="30" customHeight="1" x14ac:dyDescent="0.2">
      <c r="A27" s="19" t="s">
        <v>409</v>
      </c>
      <c r="B27" s="19" t="s">
        <v>410</v>
      </c>
      <c r="C27" s="20" t="s">
        <v>432</v>
      </c>
      <c r="D27" s="21" t="s">
        <v>433</v>
      </c>
      <c r="E27" s="23">
        <v>3</v>
      </c>
      <c r="F27" s="18" t="s">
        <v>45</v>
      </c>
      <c r="G27" s="21"/>
      <c r="H27" s="21" t="s">
        <v>434</v>
      </c>
    </row>
    <row r="28" spans="1:8" ht="18" customHeight="1" x14ac:dyDescent="0.2">
      <c r="A28" s="13" t="s">
        <v>435</v>
      </c>
      <c r="B28" s="13" t="s">
        <v>436</v>
      </c>
      <c r="C28" s="13"/>
      <c r="D28" s="13"/>
      <c r="E28" s="13"/>
      <c r="F28" s="13"/>
      <c r="G28" s="13"/>
      <c r="H28" s="13"/>
    </row>
    <row r="29" spans="1:8" ht="30" customHeight="1" x14ac:dyDescent="0.2">
      <c r="A29" s="14" t="s">
        <v>435</v>
      </c>
      <c r="B29" s="14" t="s">
        <v>436</v>
      </c>
      <c r="C29" s="15" t="s">
        <v>437</v>
      </c>
      <c r="D29" s="16" t="s">
        <v>438</v>
      </c>
      <c r="E29" s="22">
        <v>1</v>
      </c>
      <c r="F29" s="18" t="s">
        <v>45</v>
      </c>
      <c r="G29" s="16" t="s">
        <v>439</v>
      </c>
      <c r="H29" s="16"/>
    </row>
    <row r="30" spans="1:8" ht="30" customHeight="1" x14ac:dyDescent="0.2">
      <c r="A30" s="19" t="s">
        <v>435</v>
      </c>
      <c r="B30" s="19" t="s">
        <v>436</v>
      </c>
      <c r="C30" s="20" t="s">
        <v>440</v>
      </c>
      <c r="D30" s="21" t="s">
        <v>441</v>
      </c>
      <c r="E30" s="22">
        <v>1</v>
      </c>
      <c r="F30" s="18" t="s">
        <v>45</v>
      </c>
      <c r="G30" s="21" t="s">
        <v>442</v>
      </c>
      <c r="H30" s="21"/>
    </row>
    <row r="31" spans="1:8" ht="30" customHeight="1" x14ac:dyDescent="0.2">
      <c r="A31" s="14" t="s">
        <v>435</v>
      </c>
      <c r="B31" s="14" t="s">
        <v>436</v>
      </c>
      <c r="C31" s="15" t="s">
        <v>443</v>
      </c>
      <c r="D31" s="16" t="s">
        <v>444</v>
      </c>
      <c r="E31" s="17">
        <v>2</v>
      </c>
      <c r="F31" s="18" t="s">
        <v>56</v>
      </c>
      <c r="G31" s="16" t="s">
        <v>445</v>
      </c>
      <c r="H31" s="16" t="s">
        <v>446</v>
      </c>
    </row>
    <row r="32" spans="1:8" ht="30" customHeight="1" x14ac:dyDescent="0.2">
      <c r="A32" s="19" t="s">
        <v>435</v>
      </c>
      <c r="B32" s="19" t="s">
        <v>436</v>
      </c>
      <c r="C32" s="20" t="s">
        <v>447</v>
      </c>
      <c r="D32" s="21" t="s">
        <v>448</v>
      </c>
      <c r="E32" s="17">
        <v>2</v>
      </c>
      <c r="F32" s="18" t="s">
        <v>195</v>
      </c>
      <c r="G32" s="16" t="s">
        <v>445</v>
      </c>
      <c r="H32" s="21"/>
    </row>
    <row r="33" spans="1:8" ht="30" customHeight="1" x14ac:dyDescent="0.2">
      <c r="A33" s="14" t="s">
        <v>435</v>
      </c>
      <c r="B33" s="14" t="s">
        <v>436</v>
      </c>
      <c r="C33" s="15" t="s">
        <v>449</v>
      </c>
      <c r="D33" s="16" t="s">
        <v>450</v>
      </c>
      <c r="E33" s="23">
        <v>3</v>
      </c>
      <c r="F33" s="18" t="s">
        <v>195</v>
      </c>
      <c r="G33" s="16" t="s">
        <v>451</v>
      </c>
      <c r="H33" s="16"/>
    </row>
    <row r="34" spans="1:8" ht="30" customHeight="1" x14ac:dyDescent="0.2">
      <c r="A34" s="19" t="s">
        <v>435</v>
      </c>
      <c r="B34" s="19" t="s">
        <v>436</v>
      </c>
      <c r="C34" s="20" t="s">
        <v>452</v>
      </c>
      <c r="D34" s="21" t="s">
        <v>453</v>
      </c>
      <c r="E34" s="23">
        <v>3</v>
      </c>
      <c r="F34" s="18" t="s">
        <v>45</v>
      </c>
      <c r="G34" s="21"/>
      <c r="H34" s="21" t="s">
        <v>65</v>
      </c>
    </row>
    <row r="35" spans="1:8" ht="18" customHeight="1" x14ac:dyDescent="0.2">
      <c r="A35" s="13" t="s">
        <v>454</v>
      </c>
      <c r="B35" s="13" t="s">
        <v>455</v>
      </c>
      <c r="C35" s="13"/>
      <c r="D35" s="13"/>
      <c r="E35" s="13"/>
      <c r="F35" s="13"/>
      <c r="G35" s="13"/>
      <c r="H35" s="13"/>
    </row>
    <row r="36" spans="1:8" ht="30" customHeight="1" x14ac:dyDescent="0.2">
      <c r="A36" s="14" t="s">
        <v>454</v>
      </c>
      <c r="B36" s="14" t="s">
        <v>455</v>
      </c>
      <c r="C36" s="15" t="s">
        <v>456</v>
      </c>
      <c r="D36" s="16" t="s">
        <v>457</v>
      </c>
      <c r="E36" s="17">
        <v>2</v>
      </c>
      <c r="F36" s="18" t="s">
        <v>195</v>
      </c>
      <c r="G36" s="16" t="s">
        <v>445</v>
      </c>
      <c r="H36" s="16"/>
    </row>
    <row r="37" spans="1:8" ht="30" customHeight="1" x14ac:dyDescent="0.2">
      <c r="A37" s="19" t="s">
        <v>454</v>
      </c>
      <c r="B37" s="19" t="s">
        <v>455</v>
      </c>
      <c r="C37" s="20" t="s">
        <v>458</v>
      </c>
      <c r="D37" s="21" t="s">
        <v>459</v>
      </c>
      <c r="E37" s="17">
        <v>2</v>
      </c>
      <c r="F37" s="18" t="s">
        <v>195</v>
      </c>
      <c r="G37" s="21" t="s">
        <v>445</v>
      </c>
      <c r="H37" s="21"/>
    </row>
    <row r="38" spans="1:8" ht="30" customHeight="1" x14ac:dyDescent="0.2">
      <c r="A38" s="14" t="s">
        <v>454</v>
      </c>
      <c r="B38" s="14" t="s">
        <v>455</v>
      </c>
      <c r="C38" s="15" t="s">
        <v>460</v>
      </c>
      <c r="D38" s="16" t="s">
        <v>461</v>
      </c>
      <c r="E38" s="17">
        <v>2</v>
      </c>
      <c r="F38" s="18" t="s">
        <v>195</v>
      </c>
      <c r="G38" s="16" t="s">
        <v>445</v>
      </c>
      <c r="H38" s="16"/>
    </row>
    <row r="39" spans="1:8" ht="30" customHeight="1" x14ac:dyDescent="0.2">
      <c r="A39" s="19" t="s">
        <v>454</v>
      </c>
      <c r="B39" s="19" t="s">
        <v>455</v>
      </c>
      <c r="C39" s="20" t="s">
        <v>462</v>
      </c>
      <c r="D39" s="21" t="s">
        <v>463</v>
      </c>
      <c r="E39" s="17">
        <v>2</v>
      </c>
      <c r="F39" s="18" t="s">
        <v>195</v>
      </c>
      <c r="G39" s="21" t="s">
        <v>445</v>
      </c>
      <c r="H39" s="21"/>
    </row>
    <row r="40" spans="1:8" ht="30" customHeight="1" x14ac:dyDescent="0.2">
      <c r="A40" s="14" t="s">
        <v>454</v>
      </c>
      <c r="B40" s="14" t="s">
        <v>455</v>
      </c>
      <c r="C40" s="15" t="s">
        <v>464</v>
      </c>
      <c r="D40" s="16" t="s">
        <v>465</v>
      </c>
      <c r="E40" s="17">
        <v>2</v>
      </c>
      <c r="F40" s="18" t="s">
        <v>195</v>
      </c>
      <c r="G40" s="16" t="s">
        <v>445</v>
      </c>
      <c r="H40" s="16"/>
    </row>
    <row r="41" spans="1:8" ht="30" customHeight="1" x14ac:dyDescent="0.2">
      <c r="A41" s="19" t="s">
        <v>454</v>
      </c>
      <c r="B41" s="19" t="s">
        <v>455</v>
      </c>
      <c r="C41" s="20" t="s">
        <v>466</v>
      </c>
      <c r="D41" s="21" t="s">
        <v>467</v>
      </c>
      <c r="E41" s="23">
        <v>3</v>
      </c>
      <c r="F41" s="18" t="s">
        <v>195</v>
      </c>
      <c r="G41" s="21" t="s">
        <v>445</v>
      </c>
      <c r="H41" s="21"/>
    </row>
    <row r="42" spans="1:8" ht="30" customHeight="1" x14ac:dyDescent="0.2">
      <c r="A42" s="14" t="s">
        <v>454</v>
      </c>
      <c r="B42" s="14" t="s">
        <v>455</v>
      </c>
      <c r="C42" s="15" t="s">
        <v>468</v>
      </c>
      <c r="D42" s="16" t="s">
        <v>469</v>
      </c>
      <c r="E42" s="23">
        <v>3</v>
      </c>
      <c r="F42" s="18" t="s">
        <v>195</v>
      </c>
      <c r="G42" s="16" t="s">
        <v>445</v>
      </c>
      <c r="H42" s="16"/>
    </row>
    <row r="43" spans="1:8" ht="30" customHeight="1" x14ac:dyDescent="0.2">
      <c r="A43" s="19" t="s">
        <v>454</v>
      </c>
      <c r="B43" s="19" t="s">
        <v>455</v>
      </c>
      <c r="C43" s="20" t="s">
        <v>470</v>
      </c>
      <c r="D43" s="21" t="s">
        <v>471</v>
      </c>
      <c r="E43" s="23">
        <v>3</v>
      </c>
      <c r="F43" s="18" t="s">
        <v>195</v>
      </c>
      <c r="G43" s="21" t="s">
        <v>445</v>
      </c>
      <c r="H43" s="21"/>
    </row>
    <row r="44" spans="1:8" ht="18" customHeight="1" x14ac:dyDescent="0.2">
      <c r="A44" s="13" t="s">
        <v>472</v>
      </c>
      <c r="B44" s="13" t="s">
        <v>473</v>
      </c>
      <c r="C44" s="13"/>
      <c r="D44" s="13"/>
      <c r="E44" s="13"/>
      <c r="F44" s="13"/>
      <c r="G44" s="13"/>
      <c r="H44" s="13"/>
    </row>
    <row r="45" spans="1:8" ht="30" customHeight="1" x14ac:dyDescent="0.2">
      <c r="A45" s="14" t="s">
        <v>472</v>
      </c>
      <c r="B45" s="14" t="s">
        <v>473</v>
      </c>
      <c r="C45" s="15" t="s">
        <v>474</v>
      </c>
      <c r="D45" s="16" t="s">
        <v>475</v>
      </c>
      <c r="E45" s="17">
        <v>2</v>
      </c>
      <c r="F45" s="18" t="s">
        <v>195</v>
      </c>
      <c r="G45" s="16" t="s">
        <v>445</v>
      </c>
      <c r="H45" s="16"/>
    </row>
    <row r="46" spans="1:8" ht="30" customHeight="1" x14ac:dyDescent="0.2">
      <c r="A46" s="19" t="s">
        <v>472</v>
      </c>
      <c r="B46" s="19" t="s">
        <v>473</v>
      </c>
      <c r="C46" s="20" t="s">
        <v>476</v>
      </c>
      <c r="D46" s="21" t="s">
        <v>477</v>
      </c>
      <c r="E46" s="17">
        <v>2</v>
      </c>
      <c r="F46" s="18" t="s">
        <v>195</v>
      </c>
      <c r="G46" s="21" t="s">
        <v>445</v>
      </c>
      <c r="H46" s="21"/>
    </row>
    <row r="47" spans="1:8" ht="30" customHeight="1" x14ac:dyDescent="0.2">
      <c r="A47" s="14" t="s">
        <v>472</v>
      </c>
      <c r="B47" s="14" t="s">
        <v>473</v>
      </c>
      <c r="C47" s="15" t="s">
        <v>478</v>
      </c>
      <c r="D47" s="16" t="s">
        <v>479</v>
      </c>
      <c r="E47" s="17">
        <v>2</v>
      </c>
      <c r="F47" s="18" t="s">
        <v>195</v>
      </c>
      <c r="G47" s="16" t="s">
        <v>445</v>
      </c>
      <c r="H47" s="16"/>
    </row>
    <row r="48" spans="1:8" ht="30" customHeight="1" x14ac:dyDescent="0.2">
      <c r="A48" s="19" t="s">
        <v>472</v>
      </c>
      <c r="B48" s="19" t="s">
        <v>473</v>
      </c>
      <c r="C48" s="20" t="s">
        <v>480</v>
      </c>
      <c r="D48" s="21" t="s">
        <v>481</v>
      </c>
      <c r="E48" s="23">
        <v>3</v>
      </c>
      <c r="F48" s="18" t="s">
        <v>76</v>
      </c>
      <c r="G48" s="21"/>
      <c r="H48" s="21"/>
    </row>
    <row r="49" spans="1:8" ht="18" customHeight="1" x14ac:dyDescent="0.2">
      <c r="A49" s="13" t="s">
        <v>482</v>
      </c>
      <c r="B49" s="13" t="s">
        <v>483</v>
      </c>
      <c r="C49" s="13"/>
      <c r="D49" s="13"/>
      <c r="E49" s="13"/>
      <c r="F49" s="13"/>
      <c r="G49" s="13"/>
      <c r="H49" s="13"/>
    </row>
    <row r="50" spans="1:8" ht="30" customHeight="1" x14ac:dyDescent="0.2">
      <c r="A50" s="14" t="s">
        <v>482</v>
      </c>
      <c r="B50" s="14" t="s">
        <v>483</v>
      </c>
      <c r="C50" s="15" t="s">
        <v>484</v>
      </c>
      <c r="D50" s="16" t="s">
        <v>485</v>
      </c>
      <c r="E50" s="23">
        <v>3</v>
      </c>
      <c r="F50" s="18" t="s">
        <v>45</v>
      </c>
      <c r="G50" s="16"/>
      <c r="H50" s="16" t="s">
        <v>486</v>
      </c>
    </row>
    <row r="51" spans="1:8" ht="30" customHeight="1" x14ac:dyDescent="0.2">
      <c r="A51" s="19" t="s">
        <v>482</v>
      </c>
      <c r="B51" s="19" t="s">
        <v>483</v>
      </c>
      <c r="C51" s="20" t="s">
        <v>487</v>
      </c>
      <c r="D51" s="21" t="s">
        <v>488</v>
      </c>
      <c r="E51" s="23">
        <v>3</v>
      </c>
      <c r="F51" s="18" t="s">
        <v>56</v>
      </c>
      <c r="G51" s="16" t="s">
        <v>489</v>
      </c>
      <c r="H51" s="21" t="s">
        <v>490</v>
      </c>
    </row>
    <row r="52" spans="1:8" ht="18" customHeight="1" x14ac:dyDescent="0.2">
      <c r="A52" s="13" t="s">
        <v>491</v>
      </c>
      <c r="B52" s="13" t="s">
        <v>492</v>
      </c>
      <c r="C52" s="13"/>
      <c r="D52" s="13"/>
      <c r="E52" s="13"/>
      <c r="F52" s="13"/>
      <c r="G52" s="13"/>
      <c r="H52" s="13"/>
    </row>
    <row r="53" spans="1:8" ht="30" customHeight="1" x14ac:dyDescent="0.2">
      <c r="A53" s="14" t="s">
        <v>491</v>
      </c>
      <c r="B53" s="14" t="s">
        <v>492</v>
      </c>
      <c r="C53" s="15" t="s">
        <v>493</v>
      </c>
      <c r="D53" s="16" t="s">
        <v>494</v>
      </c>
      <c r="E53" s="17">
        <v>2</v>
      </c>
      <c r="F53" s="18" t="s">
        <v>45</v>
      </c>
      <c r="G53" s="16" t="s">
        <v>495</v>
      </c>
      <c r="H53" s="16"/>
    </row>
    <row r="54" spans="1:8" ht="30" customHeight="1" x14ac:dyDescent="0.2">
      <c r="A54" s="19" t="s">
        <v>491</v>
      </c>
      <c r="B54" s="19" t="s">
        <v>492</v>
      </c>
      <c r="C54" s="20" t="s">
        <v>496</v>
      </c>
      <c r="D54" s="21" t="s">
        <v>497</v>
      </c>
      <c r="E54" s="17">
        <v>2</v>
      </c>
      <c r="F54" s="18" t="s">
        <v>45</v>
      </c>
      <c r="G54" s="21"/>
      <c r="H54" s="21" t="s">
        <v>490</v>
      </c>
    </row>
    <row r="55" spans="1:8" ht="30" customHeight="1" x14ac:dyDescent="0.2">
      <c r="A55" s="14" t="s">
        <v>491</v>
      </c>
      <c r="B55" s="14" t="s">
        <v>492</v>
      </c>
      <c r="C55" s="15" t="s">
        <v>498</v>
      </c>
      <c r="D55" s="16" t="s">
        <v>499</v>
      </c>
      <c r="E55" s="17">
        <v>2</v>
      </c>
      <c r="F55" s="18" t="s">
        <v>76</v>
      </c>
      <c r="G55" s="16" t="s">
        <v>500</v>
      </c>
      <c r="H55" s="16"/>
    </row>
    <row r="56" spans="1:8" ht="30" customHeight="1" x14ac:dyDescent="0.2">
      <c r="A56" s="19" t="s">
        <v>491</v>
      </c>
      <c r="B56" s="19" t="s">
        <v>492</v>
      </c>
      <c r="C56" s="20" t="s">
        <v>501</v>
      </c>
      <c r="D56" s="21" t="s">
        <v>502</v>
      </c>
      <c r="E56" s="17">
        <v>2</v>
      </c>
      <c r="F56" s="18" t="s">
        <v>195</v>
      </c>
      <c r="G56" s="21" t="s">
        <v>503</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hyperlinks>
    <hyperlink ref="H3" r:id="rId1" xr:uid="{60908BFB-0D1F-473D-9D2B-16F2370A992D}"/>
  </hyperlink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112" zoomScaleNormal="75" workbookViewId="0">
      <pane ySplit="1" topLeftCell="A11" activePane="bottomLeft" state="frozen"/>
      <selection pane="bottomLeft" activeCell="G18" sqref="G1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504</v>
      </c>
      <c r="B2" s="13" t="s">
        <v>505</v>
      </c>
      <c r="C2" s="13"/>
      <c r="D2" s="13"/>
      <c r="E2" s="13"/>
      <c r="F2" s="13"/>
      <c r="G2" s="13"/>
      <c r="H2" s="13"/>
    </row>
    <row r="3" spans="1:8" ht="30" customHeight="1" x14ac:dyDescent="0.2">
      <c r="A3" s="14" t="s">
        <v>504</v>
      </c>
      <c r="B3" s="14" t="s">
        <v>505</v>
      </c>
      <c r="C3" s="15" t="s">
        <v>506</v>
      </c>
      <c r="D3" s="16" t="s">
        <v>507</v>
      </c>
      <c r="E3" s="17">
        <v>2</v>
      </c>
      <c r="F3" s="18" t="s">
        <v>45</v>
      </c>
      <c r="G3" s="16"/>
      <c r="H3" s="16" t="s">
        <v>508</v>
      </c>
    </row>
    <row r="4" spans="1:8" ht="30" customHeight="1" x14ac:dyDescent="0.2">
      <c r="A4" s="19" t="s">
        <v>504</v>
      </c>
      <c r="B4" s="19" t="s">
        <v>505</v>
      </c>
      <c r="C4" s="20" t="s">
        <v>509</v>
      </c>
      <c r="D4" s="21" t="s">
        <v>510</v>
      </c>
      <c r="E4" s="17">
        <v>2</v>
      </c>
      <c r="F4" s="18" t="s">
        <v>45</v>
      </c>
      <c r="G4" s="21" t="s">
        <v>511</v>
      </c>
      <c r="H4" s="21" t="s">
        <v>508</v>
      </c>
    </row>
    <row r="5" spans="1:8" ht="30" customHeight="1" x14ac:dyDescent="0.2">
      <c r="A5" s="14" t="s">
        <v>504</v>
      </c>
      <c r="B5" s="14" t="s">
        <v>505</v>
      </c>
      <c r="C5" s="15" t="s">
        <v>512</v>
      </c>
      <c r="D5" s="16" t="s">
        <v>513</v>
      </c>
      <c r="E5" s="17">
        <v>2</v>
      </c>
      <c r="F5" s="18" t="s">
        <v>56</v>
      </c>
      <c r="G5" s="16" t="s">
        <v>514</v>
      </c>
      <c r="H5" s="16"/>
    </row>
    <row r="6" spans="1:8" ht="18" customHeight="1" x14ac:dyDescent="0.2">
      <c r="A6" s="13" t="s">
        <v>515</v>
      </c>
      <c r="B6" s="13" t="s">
        <v>516</v>
      </c>
      <c r="C6" s="13"/>
      <c r="D6" s="13"/>
      <c r="E6" s="13"/>
      <c r="F6" s="13"/>
      <c r="G6" s="13"/>
      <c r="H6" s="13"/>
    </row>
    <row r="7" spans="1:8" ht="30" customHeight="1" x14ac:dyDescent="0.2">
      <c r="A7" s="14" t="s">
        <v>515</v>
      </c>
      <c r="B7" s="14" t="s">
        <v>516</v>
      </c>
      <c r="C7" s="15" t="s">
        <v>517</v>
      </c>
      <c r="D7" s="16" t="s">
        <v>518</v>
      </c>
      <c r="E7" s="22">
        <v>1</v>
      </c>
      <c r="F7" s="18" t="s">
        <v>45</v>
      </c>
      <c r="G7" s="16"/>
      <c r="H7" s="16" t="s">
        <v>490</v>
      </c>
    </row>
    <row r="8" spans="1:8" ht="30" customHeight="1" x14ac:dyDescent="0.2">
      <c r="A8" s="19" t="s">
        <v>515</v>
      </c>
      <c r="B8" s="19" t="s">
        <v>516</v>
      </c>
      <c r="C8" s="20" t="s">
        <v>519</v>
      </c>
      <c r="D8" s="21" t="s">
        <v>520</v>
      </c>
      <c r="E8" s="22">
        <v>1</v>
      </c>
      <c r="F8" s="18" t="s">
        <v>45</v>
      </c>
      <c r="G8" s="21" t="s">
        <v>521</v>
      </c>
      <c r="H8" s="21"/>
    </row>
    <row r="9" spans="1:8" ht="30" customHeight="1" x14ac:dyDescent="0.2">
      <c r="A9" s="14" t="s">
        <v>515</v>
      </c>
      <c r="B9" s="14" t="s">
        <v>516</v>
      </c>
      <c r="C9" s="15" t="s">
        <v>522</v>
      </c>
      <c r="D9" s="16" t="s">
        <v>523</v>
      </c>
      <c r="E9" s="22">
        <v>1</v>
      </c>
      <c r="F9" s="18" t="s">
        <v>76</v>
      </c>
      <c r="G9" s="16" t="s">
        <v>524</v>
      </c>
      <c r="H9" s="16"/>
    </row>
    <row r="10" spans="1:8" ht="30" customHeight="1" x14ac:dyDescent="0.2">
      <c r="A10" s="19" t="s">
        <v>515</v>
      </c>
      <c r="B10" s="19" t="s">
        <v>516</v>
      </c>
      <c r="C10" s="20" t="s">
        <v>525</v>
      </c>
      <c r="D10" s="21" t="s">
        <v>526</v>
      </c>
      <c r="E10" s="22">
        <v>1</v>
      </c>
      <c r="F10" s="18" t="s">
        <v>45</v>
      </c>
      <c r="G10" s="21"/>
      <c r="H10" s="21" t="s">
        <v>65</v>
      </c>
    </row>
    <row r="11" spans="1:8" ht="18" customHeight="1" x14ac:dyDescent="0.2">
      <c r="A11" s="13" t="s">
        <v>527</v>
      </c>
      <c r="B11" s="13" t="s">
        <v>528</v>
      </c>
      <c r="C11" s="13"/>
      <c r="D11" s="13"/>
      <c r="E11" s="13"/>
      <c r="F11" s="13"/>
      <c r="G11" s="13"/>
      <c r="H11" s="13"/>
    </row>
    <row r="12" spans="1:8" ht="30" customHeight="1" x14ac:dyDescent="0.2">
      <c r="A12" s="14" t="s">
        <v>527</v>
      </c>
      <c r="B12" s="14" t="s">
        <v>528</v>
      </c>
      <c r="C12" s="15" t="s">
        <v>529</v>
      </c>
      <c r="D12" s="16" t="s">
        <v>530</v>
      </c>
      <c r="E12" s="17">
        <v>2</v>
      </c>
      <c r="F12" s="18" t="s">
        <v>45</v>
      </c>
      <c r="G12" s="16"/>
      <c r="H12" s="16" t="s">
        <v>531</v>
      </c>
    </row>
    <row r="13" spans="1:8" ht="30" customHeight="1" x14ac:dyDescent="0.2">
      <c r="A13" s="19" t="s">
        <v>527</v>
      </c>
      <c r="B13" s="19" t="s">
        <v>528</v>
      </c>
      <c r="C13" s="20" t="s">
        <v>532</v>
      </c>
      <c r="D13" s="21" t="s">
        <v>533</v>
      </c>
      <c r="E13" s="17">
        <v>2</v>
      </c>
      <c r="F13" s="18" t="s">
        <v>45</v>
      </c>
      <c r="G13" s="21"/>
      <c r="H13" s="21" t="s">
        <v>534</v>
      </c>
    </row>
    <row r="14" spans="1:8" ht="18" customHeight="1" x14ac:dyDescent="0.2">
      <c r="A14" s="13" t="s">
        <v>535</v>
      </c>
      <c r="B14" s="13" t="s">
        <v>536</v>
      </c>
      <c r="C14" s="13"/>
      <c r="D14" s="13"/>
      <c r="E14" s="13"/>
      <c r="F14" s="13"/>
      <c r="G14" s="13"/>
      <c r="H14" s="13"/>
    </row>
    <row r="15" spans="1:8" ht="30" customHeight="1" x14ac:dyDescent="0.2">
      <c r="A15" s="14" t="s">
        <v>535</v>
      </c>
      <c r="B15" s="14" t="s">
        <v>536</v>
      </c>
      <c r="C15" s="15" t="s">
        <v>537</v>
      </c>
      <c r="D15" s="16" t="s">
        <v>538</v>
      </c>
      <c r="E15" s="22">
        <v>1</v>
      </c>
      <c r="F15" s="18" t="s">
        <v>45</v>
      </c>
      <c r="G15" s="16"/>
      <c r="H15" s="16" t="s">
        <v>539</v>
      </c>
    </row>
    <row r="16" spans="1:8" ht="30" customHeight="1" x14ac:dyDescent="0.2">
      <c r="A16" s="19" t="s">
        <v>535</v>
      </c>
      <c r="B16" s="19" t="s">
        <v>536</v>
      </c>
      <c r="C16" s="20" t="s">
        <v>540</v>
      </c>
      <c r="D16" s="21" t="s">
        <v>541</v>
      </c>
      <c r="E16" s="22">
        <v>1</v>
      </c>
      <c r="F16" s="18" t="s">
        <v>76</v>
      </c>
      <c r="G16" s="21" t="s">
        <v>542</v>
      </c>
      <c r="H16" s="21"/>
    </row>
    <row r="17" spans="1:8" ht="30" customHeight="1" x14ac:dyDescent="0.2">
      <c r="A17" s="14" t="s">
        <v>535</v>
      </c>
      <c r="B17" s="14" t="s">
        <v>536</v>
      </c>
      <c r="C17" s="15" t="s">
        <v>543</v>
      </c>
      <c r="D17" s="16" t="s">
        <v>544</v>
      </c>
      <c r="E17" s="17">
        <v>2</v>
      </c>
      <c r="F17" s="18" t="s">
        <v>195</v>
      </c>
      <c r="G17" s="16" t="s">
        <v>545</v>
      </c>
      <c r="H17" s="16"/>
    </row>
    <row r="18" spans="1:8" ht="30" customHeight="1" x14ac:dyDescent="0.2">
      <c r="A18" s="19" t="s">
        <v>535</v>
      </c>
      <c r="B18" s="19" t="s">
        <v>536</v>
      </c>
      <c r="C18" s="20" t="s">
        <v>546</v>
      </c>
      <c r="D18" s="21" t="s">
        <v>547</v>
      </c>
      <c r="E18" s="17">
        <v>2</v>
      </c>
      <c r="F18" s="18" t="s">
        <v>56</v>
      </c>
      <c r="G18" s="21" t="s">
        <v>548</v>
      </c>
      <c r="H18" s="21"/>
    </row>
    <row r="19" spans="1:8" ht="30" customHeight="1" x14ac:dyDescent="0.2">
      <c r="A19" s="14" t="s">
        <v>535</v>
      </c>
      <c r="B19" s="14" t="s">
        <v>536</v>
      </c>
      <c r="C19" s="15" t="s">
        <v>549</v>
      </c>
      <c r="D19" s="16" t="s">
        <v>550</v>
      </c>
      <c r="E19" s="17">
        <v>2</v>
      </c>
      <c r="F19" s="18" t="s">
        <v>195</v>
      </c>
      <c r="G19" s="16" t="s">
        <v>551</v>
      </c>
      <c r="H19" s="16"/>
    </row>
    <row r="20" spans="1:8" ht="18" customHeight="1" x14ac:dyDescent="0.2">
      <c r="A20" s="13" t="s">
        <v>552</v>
      </c>
      <c r="B20" s="13" t="s">
        <v>553</v>
      </c>
      <c r="C20" s="13"/>
      <c r="D20" s="13"/>
      <c r="E20" s="13"/>
      <c r="F20" s="13"/>
      <c r="G20" s="13"/>
      <c r="H20" s="13"/>
    </row>
    <row r="21" spans="1:8" ht="30" customHeight="1" x14ac:dyDescent="0.2">
      <c r="A21" s="14" t="s">
        <v>552</v>
      </c>
      <c r="B21" s="14" t="s">
        <v>553</v>
      </c>
      <c r="C21" s="15" t="s">
        <v>554</v>
      </c>
      <c r="D21" s="16" t="s">
        <v>555</v>
      </c>
      <c r="E21" s="17">
        <v>2</v>
      </c>
      <c r="F21" s="18" t="s">
        <v>45</v>
      </c>
      <c r="G21" s="16"/>
      <c r="H21" s="16" t="s">
        <v>383</v>
      </c>
    </row>
    <row r="22" spans="1:8" ht="30" customHeight="1" x14ac:dyDescent="0.2">
      <c r="A22" s="19" t="s">
        <v>552</v>
      </c>
      <c r="B22" s="19" t="s">
        <v>553</v>
      </c>
      <c r="C22" s="20" t="s">
        <v>556</v>
      </c>
      <c r="D22" s="21" t="s">
        <v>557</v>
      </c>
      <c r="E22" s="17">
        <v>2</v>
      </c>
      <c r="F22" s="18" t="s">
        <v>195</v>
      </c>
      <c r="G22" s="21" t="s">
        <v>558</v>
      </c>
      <c r="H22" s="21"/>
    </row>
    <row r="23" spans="1:8" ht="30" customHeight="1" x14ac:dyDescent="0.2">
      <c r="A23" s="14" t="s">
        <v>552</v>
      </c>
      <c r="B23" s="14" t="s">
        <v>553</v>
      </c>
      <c r="C23" s="15" t="s">
        <v>559</v>
      </c>
      <c r="D23" s="16" t="s">
        <v>560</v>
      </c>
      <c r="E23" s="23">
        <v>3</v>
      </c>
      <c r="F23" s="18" t="s">
        <v>76</v>
      </c>
      <c r="G23" s="16" t="s">
        <v>561</v>
      </c>
      <c r="H23" s="16"/>
    </row>
    <row r="24" spans="1:8" ht="18" customHeight="1" x14ac:dyDescent="0.2">
      <c r="A24" s="13" t="s">
        <v>562</v>
      </c>
      <c r="B24" s="13" t="s">
        <v>563</v>
      </c>
      <c r="C24" s="13"/>
      <c r="D24" s="13"/>
      <c r="E24" s="13"/>
      <c r="F24" s="13"/>
      <c r="G24" s="13"/>
      <c r="H24" s="13"/>
    </row>
    <row r="25" spans="1:8" ht="30" customHeight="1" x14ac:dyDescent="0.2">
      <c r="A25" s="14" t="s">
        <v>562</v>
      </c>
      <c r="B25" s="14" t="s">
        <v>563</v>
      </c>
      <c r="C25" s="15" t="s">
        <v>564</v>
      </c>
      <c r="D25" s="16" t="s">
        <v>565</v>
      </c>
      <c r="E25" s="17">
        <v>2</v>
      </c>
      <c r="F25" s="18" t="s">
        <v>45</v>
      </c>
      <c r="G25" s="16"/>
      <c r="H25" s="16" t="s">
        <v>534</v>
      </c>
    </row>
    <row r="26" spans="1:8" ht="30" customHeight="1" x14ac:dyDescent="0.2">
      <c r="A26" s="19" t="s">
        <v>562</v>
      </c>
      <c r="B26" s="19" t="s">
        <v>563</v>
      </c>
      <c r="C26" s="20" t="s">
        <v>566</v>
      </c>
      <c r="D26" s="21" t="s">
        <v>567</v>
      </c>
      <c r="E26" s="17">
        <v>2</v>
      </c>
      <c r="F26" s="18" t="s">
        <v>45</v>
      </c>
      <c r="G26" s="21"/>
      <c r="H26" s="21" t="s">
        <v>534</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132" zoomScaleNormal="75" workbookViewId="0">
      <pane ySplit="1" topLeftCell="A10" activePane="bottomLeft" state="frozen"/>
      <selection pane="bottomLeft" activeCell="F18" sqref="F1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568</v>
      </c>
      <c r="B2" s="13" t="s">
        <v>569</v>
      </c>
      <c r="C2" s="13"/>
      <c r="D2" s="13"/>
      <c r="E2" s="13"/>
      <c r="F2" s="13"/>
      <c r="G2" s="13"/>
      <c r="H2" s="13"/>
    </row>
    <row r="3" spans="1:8" ht="30" customHeight="1" x14ac:dyDescent="0.2">
      <c r="A3" s="14" t="s">
        <v>568</v>
      </c>
      <c r="B3" s="14" t="s">
        <v>569</v>
      </c>
      <c r="C3" s="15" t="s">
        <v>570</v>
      </c>
      <c r="D3" s="16" t="s">
        <v>571</v>
      </c>
      <c r="E3" s="22">
        <v>1</v>
      </c>
      <c r="F3" s="18" t="s">
        <v>195</v>
      </c>
      <c r="G3" s="16"/>
      <c r="H3" s="16"/>
    </row>
    <row r="4" spans="1:8" ht="30" customHeight="1" x14ac:dyDescent="0.2">
      <c r="A4" s="19" t="s">
        <v>568</v>
      </c>
      <c r="B4" s="19" t="s">
        <v>569</v>
      </c>
      <c r="C4" s="20" t="s">
        <v>572</v>
      </c>
      <c r="D4" s="21" t="s">
        <v>573</v>
      </c>
      <c r="E4" s="17">
        <v>2</v>
      </c>
      <c r="F4" s="18" t="s">
        <v>195</v>
      </c>
      <c r="G4" s="21"/>
      <c r="H4" s="21"/>
    </row>
    <row r="5" spans="1:8" ht="30" customHeight="1" x14ac:dyDescent="0.2">
      <c r="A5" s="14" t="s">
        <v>568</v>
      </c>
      <c r="B5" s="14" t="s">
        <v>569</v>
      </c>
      <c r="C5" s="15" t="s">
        <v>574</v>
      </c>
      <c r="D5" s="16" t="s">
        <v>575</v>
      </c>
      <c r="E5" s="23">
        <v>3</v>
      </c>
      <c r="F5" s="18" t="s">
        <v>195</v>
      </c>
      <c r="G5" s="16"/>
      <c r="H5" s="16"/>
    </row>
    <row r="6" spans="1:8" ht="30" customHeight="1" x14ac:dyDescent="0.2">
      <c r="A6" s="19" t="s">
        <v>568</v>
      </c>
      <c r="B6" s="19" t="s">
        <v>569</v>
      </c>
      <c r="C6" s="20" t="s">
        <v>576</v>
      </c>
      <c r="D6" s="21" t="s">
        <v>577</v>
      </c>
      <c r="E6" s="23">
        <v>3</v>
      </c>
      <c r="F6" s="18" t="s">
        <v>195</v>
      </c>
      <c r="G6" s="21"/>
      <c r="H6" s="21"/>
    </row>
    <row r="7" spans="1:8" ht="18" customHeight="1" x14ac:dyDescent="0.2">
      <c r="A7" s="13" t="s">
        <v>578</v>
      </c>
      <c r="B7" s="13" t="s">
        <v>579</v>
      </c>
      <c r="C7" s="13"/>
      <c r="D7" s="13"/>
      <c r="E7" s="13"/>
      <c r="F7" s="13"/>
      <c r="G7" s="13"/>
      <c r="H7" s="13"/>
    </row>
    <row r="8" spans="1:8" ht="30" customHeight="1" x14ac:dyDescent="0.2">
      <c r="A8" s="14" t="s">
        <v>578</v>
      </c>
      <c r="B8" s="14" t="s">
        <v>579</v>
      </c>
      <c r="C8" s="15" t="s">
        <v>580</v>
      </c>
      <c r="D8" s="16" t="s">
        <v>581</v>
      </c>
      <c r="E8" s="22">
        <v>1</v>
      </c>
      <c r="F8" s="18" t="s">
        <v>45</v>
      </c>
      <c r="G8" s="16"/>
      <c r="H8" s="16"/>
    </row>
    <row r="9" spans="1:8" ht="30" customHeight="1" x14ac:dyDescent="0.2">
      <c r="A9" s="19" t="s">
        <v>578</v>
      </c>
      <c r="B9" s="19" t="s">
        <v>579</v>
      </c>
      <c r="C9" s="20" t="s">
        <v>582</v>
      </c>
      <c r="D9" s="21" t="s">
        <v>583</v>
      </c>
      <c r="E9" s="22">
        <v>1</v>
      </c>
      <c r="F9" s="18" t="s">
        <v>45</v>
      </c>
      <c r="G9" s="21"/>
      <c r="H9" s="21"/>
    </row>
    <row r="10" spans="1:8" ht="30" customHeight="1" x14ac:dyDescent="0.2">
      <c r="A10" s="14" t="s">
        <v>578</v>
      </c>
      <c r="B10" s="14" t="s">
        <v>579</v>
      </c>
      <c r="C10" s="15" t="s">
        <v>584</v>
      </c>
      <c r="D10" s="16" t="s">
        <v>585</v>
      </c>
      <c r="E10" s="17">
        <v>2</v>
      </c>
      <c r="F10" s="18" t="s">
        <v>45</v>
      </c>
      <c r="G10" s="16"/>
      <c r="H10" s="16"/>
    </row>
    <row r="11" spans="1:8" ht="30" customHeight="1" x14ac:dyDescent="0.2">
      <c r="A11" s="19" t="s">
        <v>578</v>
      </c>
      <c r="B11" s="19" t="s">
        <v>579</v>
      </c>
      <c r="C11" s="20" t="s">
        <v>586</v>
      </c>
      <c r="D11" s="21" t="s">
        <v>587</v>
      </c>
      <c r="E11" s="23">
        <v>3</v>
      </c>
      <c r="F11" s="18" t="s">
        <v>76</v>
      </c>
      <c r="G11" s="21"/>
      <c r="H11" s="21"/>
    </row>
    <row r="12" spans="1:8" ht="18" customHeight="1" x14ac:dyDescent="0.2">
      <c r="A12" s="13" t="s">
        <v>588</v>
      </c>
      <c r="B12" s="13" t="s">
        <v>589</v>
      </c>
      <c r="C12" s="13"/>
      <c r="D12" s="13"/>
      <c r="E12" s="13"/>
      <c r="F12" s="13"/>
      <c r="G12" s="13"/>
      <c r="H12" s="13"/>
    </row>
    <row r="13" spans="1:8" ht="30" customHeight="1" x14ac:dyDescent="0.2">
      <c r="A13" s="14" t="s">
        <v>588</v>
      </c>
      <c r="B13" s="14" t="s">
        <v>589</v>
      </c>
      <c r="C13" s="15" t="s">
        <v>590</v>
      </c>
      <c r="D13" s="16" t="s">
        <v>591</v>
      </c>
      <c r="E13" s="22">
        <v>1</v>
      </c>
      <c r="F13" s="18" t="s">
        <v>45</v>
      </c>
      <c r="G13" s="16"/>
      <c r="H13" s="16"/>
    </row>
    <row r="14" spans="1:8" ht="30" customHeight="1" x14ac:dyDescent="0.2">
      <c r="A14" s="19" t="s">
        <v>588</v>
      </c>
      <c r="B14" s="19" t="s">
        <v>589</v>
      </c>
      <c r="C14" s="20" t="s">
        <v>592</v>
      </c>
      <c r="D14" s="21" t="s">
        <v>593</v>
      </c>
      <c r="E14" s="23">
        <v>3</v>
      </c>
      <c r="F14" s="18" t="s">
        <v>76</v>
      </c>
      <c r="G14" s="21"/>
      <c r="H14" s="21"/>
    </row>
    <row r="15" spans="1:8" ht="30" customHeight="1" x14ac:dyDescent="0.2">
      <c r="A15" s="14" t="s">
        <v>588</v>
      </c>
      <c r="B15" s="14" t="s">
        <v>589</v>
      </c>
      <c r="C15" s="15" t="s">
        <v>594</v>
      </c>
      <c r="D15" s="16" t="s">
        <v>595</v>
      </c>
      <c r="E15" s="23">
        <v>3</v>
      </c>
      <c r="F15" s="18" t="s">
        <v>45</v>
      </c>
      <c r="G15" s="16"/>
      <c r="H15" s="16"/>
    </row>
    <row r="16" spans="1:8" ht="18" customHeight="1" x14ac:dyDescent="0.2">
      <c r="A16" s="13" t="s">
        <v>596</v>
      </c>
      <c r="B16" s="13" t="s">
        <v>597</v>
      </c>
      <c r="C16" s="13"/>
      <c r="D16" s="13"/>
      <c r="E16" s="13"/>
      <c r="F16" s="13"/>
      <c r="G16" s="13"/>
      <c r="H16" s="13"/>
    </row>
    <row r="17" spans="1:8" ht="30" customHeight="1" x14ac:dyDescent="0.2">
      <c r="A17" s="14" t="s">
        <v>596</v>
      </c>
      <c r="B17" s="14" t="s">
        <v>597</v>
      </c>
      <c r="C17" s="15" t="s">
        <v>598</v>
      </c>
      <c r="D17" s="16" t="s">
        <v>599</v>
      </c>
      <c r="E17" s="17">
        <v>2</v>
      </c>
      <c r="F17" s="18" t="s">
        <v>76</v>
      </c>
      <c r="G17" s="16"/>
      <c r="H17" s="16"/>
    </row>
    <row r="18" spans="1:8" ht="30" customHeight="1" x14ac:dyDescent="0.2">
      <c r="A18" s="19" t="s">
        <v>596</v>
      </c>
      <c r="B18" s="19" t="s">
        <v>597</v>
      </c>
      <c r="C18" s="20" t="s">
        <v>600</v>
      </c>
      <c r="D18" s="21" t="s">
        <v>601</v>
      </c>
      <c r="E18" s="23">
        <v>3</v>
      </c>
      <c r="F18" s="18" t="s">
        <v>56</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topLeftCell="B1" zoomScale="102" zoomScaleNormal="75" workbookViewId="0">
      <pane ySplit="1" topLeftCell="A2" activePane="bottomLeft" state="frozen"/>
      <selection pane="bottomLeft" activeCell="F9" sqref="F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602</v>
      </c>
      <c r="B2" s="13" t="s">
        <v>603</v>
      </c>
      <c r="C2" s="13"/>
      <c r="D2" s="13"/>
      <c r="E2" s="13"/>
      <c r="F2" s="13"/>
      <c r="G2" s="13"/>
      <c r="H2" s="13"/>
    </row>
    <row r="3" spans="1:8" ht="30" customHeight="1" x14ac:dyDescent="0.2">
      <c r="A3" s="14" t="s">
        <v>602</v>
      </c>
      <c r="B3" s="14" t="s">
        <v>603</v>
      </c>
      <c r="C3" s="15" t="s">
        <v>604</v>
      </c>
      <c r="D3" s="16" t="s">
        <v>605</v>
      </c>
      <c r="E3" s="22">
        <v>1</v>
      </c>
      <c r="F3" s="18" t="s">
        <v>45</v>
      </c>
      <c r="G3" s="16" t="s">
        <v>606</v>
      </c>
      <c r="H3" s="16" t="s">
        <v>607</v>
      </c>
    </row>
    <row r="4" spans="1:8" ht="30" customHeight="1" x14ac:dyDescent="0.2">
      <c r="A4" s="19" t="s">
        <v>602</v>
      </c>
      <c r="B4" s="19" t="s">
        <v>603</v>
      </c>
      <c r="C4" s="20" t="s">
        <v>608</v>
      </c>
      <c r="D4" s="21" t="s">
        <v>609</v>
      </c>
      <c r="E4" s="22">
        <v>1</v>
      </c>
      <c r="F4" s="18" t="s">
        <v>56</v>
      </c>
      <c r="G4" s="21"/>
      <c r="H4" s="21"/>
    </row>
    <row r="5" spans="1:8" ht="30" customHeight="1" x14ac:dyDescent="0.2">
      <c r="A5" s="14" t="s">
        <v>602</v>
      </c>
      <c r="B5" s="14" t="s">
        <v>603</v>
      </c>
      <c r="C5" s="15" t="s">
        <v>610</v>
      </c>
      <c r="D5" s="16" t="s">
        <v>611</v>
      </c>
      <c r="E5" s="22">
        <v>1</v>
      </c>
      <c r="F5" s="18" t="s">
        <v>76</v>
      </c>
      <c r="G5" s="16" t="s">
        <v>612</v>
      </c>
      <c r="H5" s="16"/>
    </row>
    <row r="6" spans="1:8" ht="18" customHeight="1" x14ac:dyDescent="0.2">
      <c r="A6" s="13" t="s">
        <v>613</v>
      </c>
      <c r="B6" s="13" t="s">
        <v>614</v>
      </c>
      <c r="C6" s="13"/>
      <c r="D6" s="13"/>
      <c r="E6" s="13"/>
      <c r="F6" s="13"/>
      <c r="G6" s="13"/>
      <c r="H6" s="13"/>
    </row>
    <row r="7" spans="1:8" ht="30" customHeight="1" x14ac:dyDescent="0.2">
      <c r="A7" s="14" t="s">
        <v>613</v>
      </c>
      <c r="B7" s="14" t="s">
        <v>614</v>
      </c>
      <c r="C7" s="15" t="s">
        <v>615</v>
      </c>
      <c r="D7" s="16" t="s">
        <v>616</v>
      </c>
      <c r="E7" s="22">
        <v>1</v>
      </c>
      <c r="F7" s="18" t="s">
        <v>45</v>
      </c>
      <c r="G7" s="16"/>
      <c r="H7" s="16" t="s">
        <v>617</v>
      </c>
    </row>
    <row r="8" spans="1:8" ht="30" customHeight="1" x14ac:dyDescent="0.2">
      <c r="A8" s="19" t="s">
        <v>613</v>
      </c>
      <c r="B8" s="19" t="s">
        <v>614</v>
      </c>
      <c r="C8" s="20" t="s">
        <v>618</v>
      </c>
      <c r="D8" s="21" t="s">
        <v>619</v>
      </c>
      <c r="E8" s="17">
        <v>2</v>
      </c>
      <c r="F8" s="18" t="s">
        <v>56</v>
      </c>
      <c r="G8" s="21" t="s">
        <v>620</v>
      </c>
      <c r="H8" s="21"/>
    </row>
    <row r="9" spans="1:8" ht="30" customHeight="1" x14ac:dyDescent="0.2">
      <c r="A9" s="14" t="s">
        <v>613</v>
      </c>
      <c r="B9" s="14" t="s">
        <v>614</v>
      </c>
      <c r="C9" s="15" t="s">
        <v>621</v>
      </c>
      <c r="D9" s="16" t="s">
        <v>622</v>
      </c>
      <c r="E9" s="17">
        <v>2</v>
      </c>
      <c r="F9" s="18" t="s">
        <v>45</v>
      </c>
      <c r="G9" s="16" t="s">
        <v>623</v>
      </c>
      <c r="H9" t="s">
        <v>624</v>
      </c>
    </row>
    <row r="10" spans="1:8" ht="30" customHeight="1" x14ac:dyDescent="0.2">
      <c r="A10" s="19" t="s">
        <v>613</v>
      </c>
      <c r="B10" s="19" t="s">
        <v>614</v>
      </c>
      <c r="C10" s="20" t="s">
        <v>625</v>
      </c>
      <c r="D10" s="21" t="s">
        <v>626</v>
      </c>
      <c r="E10" s="17">
        <v>2</v>
      </c>
      <c r="F10" s="18" t="s">
        <v>45</v>
      </c>
      <c r="G10" s="21" t="s">
        <v>627</v>
      </c>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0" zoomScaleNormal="75" workbookViewId="0">
      <pane ySplit="1" topLeftCell="A15" activePane="bottomLeft" state="frozen"/>
      <selection pane="bottomLeft" activeCell="G12" sqref="G1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628</v>
      </c>
      <c r="B2" s="13" t="s">
        <v>629</v>
      </c>
      <c r="C2" s="13"/>
      <c r="D2" s="13"/>
      <c r="E2" s="13"/>
      <c r="F2" s="13"/>
      <c r="G2" s="13"/>
      <c r="H2" s="13"/>
    </row>
    <row r="3" spans="1:8" ht="30" customHeight="1" x14ac:dyDescent="0.2">
      <c r="A3" s="14" t="s">
        <v>628</v>
      </c>
      <c r="B3" s="14" t="s">
        <v>629</v>
      </c>
      <c r="C3" s="15" t="s">
        <v>630</v>
      </c>
      <c r="D3" s="16" t="s">
        <v>631</v>
      </c>
      <c r="E3" s="17">
        <v>2</v>
      </c>
      <c r="F3" s="18" t="s">
        <v>56</v>
      </c>
      <c r="G3" s="16" t="s">
        <v>632</v>
      </c>
      <c r="H3" s="16" t="s">
        <v>633</v>
      </c>
    </row>
    <row r="4" spans="1:8" ht="30" customHeight="1" x14ac:dyDescent="0.2">
      <c r="A4" s="19" t="s">
        <v>628</v>
      </c>
      <c r="B4" s="19" t="s">
        <v>629</v>
      </c>
      <c r="C4" s="20" t="s">
        <v>634</v>
      </c>
      <c r="D4" s="21" t="s">
        <v>635</v>
      </c>
      <c r="E4" s="17">
        <v>2</v>
      </c>
      <c r="F4" s="18" t="s">
        <v>76</v>
      </c>
      <c r="G4" s="21" t="s">
        <v>636</v>
      </c>
      <c r="H4" s="21"/>
    </row>
    <row r="5" spans="1:8" ht="18" customHeight="1" x14ac:dyDescent="0.2">
      <c r="A5" s="13" t="s">
        <v>637</v>
      </c>
      <c r="B5" s="13" t="s">
        <v>638</v>
      </c>
      <c r="C5" s="13"/>
      <c r="D5" s="13"/>
      <c r="E5" s="13"/>
      <c r="F5" s="13"/>
      <c r="G5" s="13"/>
      <c r="H5" s="13"/>
    </row>
    <row r="6" spans="1:8" ht="30" customHeight="1" x14ac:dyDescent="0.2">
      <c r="A6" s="14" t="s">
        <v>637</v>
      </c>
      <c r="B6" s="14" t="s">
        <v>638</v>
      </c>
      <c r="C6" s="15" t="s">
        <v>639</v>
      </c>
      <c r="D6" s="16" t="s">
        <v>640</v>
      </c>
      <c r="E6" s="17">
        <v>2</v>
      </c>
      <c r="F6" s="18" t="s">
        <v>76</v>
      </c>
      <c r="G6" s="16" t="s">
        <v>641</v>
      </c>
      <c r="H6" s="16"/>
    </row>
    <row r="7" spans="1:8" ht="30" customHeight="1" x14ac:dyDescent="0.2">
      <c r="A7" s="19" t="s">
        <v>637</v>
      </c>
      <c r="B7" s="19" t="s">
        <v>638</v>
      </c>
      <c r="C7" s="20" t="s">
        <v>642</v>
      </c>
      <c r="D7" s="21" t="s">
        <v>643</v>
      </c>
      <c r="E7" s="17">
        <v>2</v>
      </c>
      <c r="F7" s="18" t="s">
        <v>76</v>
      </c>
      <c r="G7" s="21"/>
      <c r="H7" s="21"/>
    </row>
    <row r="8" spans="1:8" ht="30" customHeight="1" x14ac:dyDescent="0.2">
      <c r="A8" s="14" t="s">
        <v>637</v>
      </c>
      <c r="B8" s="14" t="s">
        <v>638</v>
      </c>
      <c r="C8" s="15" t="s">
        <v>644</v>
      </c>
      <c r="D8" s="16" t="s">
        <v>645</v>
      </c>
      <c r="E8" s="23">
        <v>3</v>
      </c>
      <c r="F8" s="18" t="s">
        <v>76</v>
      </c>
      <c r="G8" s="16"/>
      <c r="H8" s="16"/>
    </row>
    <row r="9" spans="1:8" ht="18" customHeight="1" x14ac:dyDescent="0.2">
      <c r="A9" s="13" t="s">
        <v>646</v>
      </c>
      <c r="B9" s="13" t="s">
        <v>647</v>
      </c>
      <c r="C9" s="13"/>
      <c r="D9" s="13"/>
      <c r="E9" s="13"/>
      <c r="F9" s="13"/>
      <c r="G9" s="13"/>
      <c r="H9" s="13"/>
    </row>
    <row r="10" spans="1:8" ht="30" customHeight="1" x14ac:dyDescent="0.2">
      <c r="A10" s="14" t="s">
        <v>646</v>
      </c>
      <c r="B10" s="14" t="s">
        <v>647</v>
      </c>
      <c r="C10" s="15" t="s">
        <v>648</v>
      </c>
      <c r="D10" s="16" t="s">
        <v>649</v>
      </c>
      <c r="E10" s="17">
        <v>2</v>
      </c>
      <c r="F10" s="18" t="s">
        <v>45</v>
      </c>
      <c r="G10" s="16" t="s">
        <v>650</v>
      </c>
      <c r="H10" s="16" t="s">
        <v>651</v>
      </c>
    </row>
    <row r="11" spans="1:8" ht="30" customHeight="1" x14ac:dyDescent="0.2">
      <c r="A11" s="19" t="s">
        <v>646</v>
      </c>
      <c r="B11" s="19" t="s">
        <v>647</v>
      </c>
      <c r="C11" s="20" t="s">
        <v>652</v>
      </c>
      <c r="D11" s="21" t="s">
        <v>653</v>
      </c>
      <c r="E11" s="17">
        <v>2</v>
      </c>
      <c r="F11" s="18" t="s">
        <v>45</v>
      </c>
      <c r="G11" s="21"/>
      <c r="H11" s="21"/>
    </row>
    <row r="12" spans="1:8" ht="30" customHeight="1" x14ac:dyDescent="0.2">
      <c r="A12" s="14" t="s">
        <v>646</v>
      </c>
      <c r="B12" s="14" t="s">
        <v>647</v>
      </c>
      <c r="C12" s="15" t="s">
        <v>654</v>
      </c>
      <c r="D12" s="16" t="s">
        <v>655</v>
      </c>
      <c r="E12" s="17">
        <v>2</v>
      </c>
      <c r="F12" s="18" t="s">
        <v>56</v>
      </c>
      <c r="G12" s="16" t="s">
        <v>656</v>
      </c>
      <c r="H12" s="16" t="s">
        <v>657</v>
      </c>
    </row>
    <row r="13" spans="1:8" ht="30" customHeight="1" x14ac:dyDescent="0.2">
      <c r="A13" s="19" t="s">
        <v>646</v>
      </c>
      <c r="B13" s="19" t="s">
        <v>647</v>
      </c>
      <c r="C13" s="20" t="s">
        <v>658</v>
      </c>
      <c r="D13" s="21" t="s">
        <v>659</v>
      </c>
      <c r="E13" s="17">
        <v>2</v>
      </c>
      <c r="F13" s="18" t="s">
        <v>76</v>
      </c>
      <c r="G13" s="21" t="s">
        <v>660</v>
      </c>
      <c r="H13" s="21"/>
    </row>
    <row r="14" spans="1:8" ht="30" customHeight="1" x14ac:dyDescent="0.2">
      <c r="A14" s="14" t="s">
        <v>646</v>
      </c>
      <c r="B14" s="14" t="s">
        <v>647</v>
      </c>
      <c r="C14" s="15" t="s">
        <v>661</v>
      </c>
      <c r="D14" s="16" t="s">
        <v>662</v>
      </c>
      <c r="E14" s="23">
        <v>3</v>
      </c>
      <c r="F14" s="18" t="s">
        <v>76</v>
      </c>
      <c r="G14" s="16"/>
      <c r="H14" s="16"/>
    </row>
    <row r="15" spans="1:8" ht="18" customHeight="1" x14ac:dyDescent="0.2">
      <c r="A15" s="13" t="s">
        <v>663</v>
      </c>
      <c r="B15" s="13" t="s">
        <v>664</v>
      </c>
      <c r="C15" s="13"/>
      <c r="D15" s="13"/>
      <c r="E15" s="13"/>
      <c r="F15" s="13"/>
      <c r="G15" s="13"/>
      <c r="H15" s="13"/>
    </row>
    <row r="16" spans="1:8" ht="30" customHeight="1" x14ac:dyDescent="0.2">
      <c r="A16" s="14" t="s">
        <v>663</v>
      </c>
      <c r="B16" s="14" t="s">
        <v>664</v>
      </c>
      <c r="C16" s="15" t="s">
        <v>665</v>
      </c>
      <c r="D16" s="16" t="s">
        <v>666</v>
      </c>
      <c r="E16" s="22">
        <v>1</v>
      </c>
      <c r="F16" s="18" t="s">
        <v>76</v>
      </c>
      <c r="G16" s="16" t="s">
        <v>667</v>
      </c>
      <c r="H16" s="16"/>
    </row>
    <row r="17" spans="1:8" ht="30" customHeight="1" x14ac:dyDescent="0.2">
      <c r="A17" s="19" t="s">
        <v>663</v>
      </c>
      <c r="B17" s="19" t="s">
        <v>664</v>
      </c>
      <c r="C17" s="20" t="s">
        <v>668</v>
      </c>
      <c r="D17" s="21" t="s">
        <v>669</v>
      </c>
      <c r="E17" s="22">
        <v>1</v>
      </c>
      <c r="F17" s="18" t="s">
        <v>76</v>
      </c>
      <c r="G17" s="21" t="s">
        <v>670</v>
      </c>
      <c r="H17" s="21"/>
    </row>
    <row r="18" spans="1:8" ht="30" customHeight="1" x14ac:dyDescent="0.2">
      <c r="A18" s="14" t="s">
        <v>663</v>
      </c>
      <c r="B18" s="14" t="s">
        <v>664</v>
      </c>
      <c r="C18" s="15" t="s">
        <v>671</v>
      </c>
      <c r="D18" s="16" t="s">
        <v>672</v>
      </c>
      <c r="E18" s="22">
        <v>1</v>
      </c>
      <c r="F18" s="18" t="s">
        <v>76</v>
      </c>
      <c r="G18" s="16"/>
      <c r="H18" s="16"/>
    </row>
    <row r="19" spans="1:8" ht="30" customHeight="1" x14ac:dyDescent="0.2">
      <c r="A19" s="19" t="s">
        <v>663</v>
      </c>
      <c r="B19" s="19" t="s">
        <v>664</v>
      </c>
      <c r="C19" s="20" t="s">
        <v>673</v>
      </c>
      <c r="D19" s="21" t="s">
        <v>674</v>
      </c>
      <c r="E19" s="22">
        <v>1</v>
      </c>
      <c r="F19" s="18" t="s">
        <v>56</v>
      </c>
      <c r="G19" s="21" t="s">
        <v>675</v>
      </c>
      <c r="H19" s="21"/>
    </row>
    <row r="20" spans="1:8" ht="30" customHeight="1" x14ac:dyDescent="0.2">
      <c r="A20" s="14" t="s">
        <v>663</v>
      </c>
      <c r="B20" s="14" t="s">
        <v>664</v>
      </c>
      <c r="C20" s="15" t="s">
        <v>676</v>
      </c>
      <c r="D20" s="16" t="s">
        <v>677</v>
      </c>
      <c r="E20" s="22">
        <v>1</v>
      </c>
      <c r="F20" s="18" t="s">
        <v>56</v>
      </c>
      <c r="G20" s="16" t="s">
        <v>678</v>
      </c>
      <c r="H20" s="16"/>
    </row>
    <row r="21" spans="1:8" ht="30" customHeight="1" x14ac:dyDescent="0.2">
      <c r="A21" s="19" t="s">
        <v>663</v>
      </c>
      <c r="B21" s="19" t="s">
        <v>664</v>
      </c>
      <c r="C21" s="20" t="s">
        <v>679</v>
      </c>
      <c r="D21" s="21" t="s">
        <v>680</v>
      </c>
      <c r="E21" s="17">
        <v>2</v>
      </c>
      <c r="F21" s="18" t="s">
        <v>76</v>
      </c>
      <c r="G21" s="21" t="s">
        <v>681</v>
      </c>
      <c r="H21" s="21"/>
    </row>
    <row r="22" spans="1:8" ht="30" customHeight="1" x14ac:dyDescent="0.2">
      <c r="A22" s="14" t="s">
        <v>663</v>
      </c>
      <c r="B22" s="14" t="s">
        <v>664</v>
      </c>
      <c r="C22" s="15" t="s">
        <v>682</v>
      </c>
      <c r="D22" s="16" t="s">
        <v>683</v>
      </c>
      <c r="E22" s="17">
        <v>2</v>
      </c>
      <c r="F22" s="18" t="s">
        <v>76</v>
      </c>
      <c r="G22" s="16" t="s">
        <v>684</v>
      </c>
      <c r="H22" s="16"/>
    </row>
    <row r="23" spans="1:8" ht="30" customHeight="1" x14ac:dyDescent="0.2">
      <c r="A23" s="19" t="s">
        <v>663</v>
      </c>
      <c r="B23" s="19" t="s">
        <v>664</v>
      </c>
      <c r="C23" s="20" t="s">
        <v>685</v>
      </c>
      <c r="D23" s="21" t="s">
        <v>686</v>
      </c>
      <c r="E23" s="17">
        <v>2</v>
      </c>
      <c r="F23" s="18" t="s">
        <v>56</v>
      </c>
      <c r="G23" s="21" t="s">
        <v>687</v>
      </c>
      <c r="H23" s="21"/>
    </row>
    <row r="24" spans="1:8" ht="30" customHeight="1" x14ac:dyDescent="0.2">
      <c r="A24" s="14" t="s">
        <v>663</v>
      </c>
      <c r="B24" s="14" t="s">
        <v>664</v>
      </c>
      <c r="C24" s="15" t="s">
        <v>688</v>
      </c>
      <c r="D24" s="16" t="s">
        <v>689</v>
      </c>
      <c r="E24" s="17">
        <v>2</v>
      </c>
      <c r="F24" s="18" t="s">
        <v>45</v>
      </c>
      <c r="G24" s="16" t="s">
        <v>690</v>
      </c>
      <c r="H24" s="16" t="s">
        <v>691</v>
      </c>
    </row>
    <row r="25" spans="1:8" ht="30" customHeight="1" x14ac:dyDescent="0.2">
      <c r="A25" s="19" t="s">
        <v>663</v>
      </c>
      <c r="B25" s="19" t="s">
        <v>664</v>
      </c>
      <c r="C25" s="20" t="s">
        <v>692</v>
      </c>
      <c r="D25" s="21" t="s">
        <v>693</v>
      </c>
      <c r="E25" s="17">
        <v>2</v>
      </c>
      <c r="F25" s="18" t="s">
        <v>45</v>
      </c>
      <c r="G25" s="21" t="s">
        <v>694</v>
      </c>
      <c r="H25" s="21"/>
    </row>
    <row r="26" spans="1:8" ht="30" customHeight="1" x14ac:dyDescent="0.2">
      <c r="A26" s="14" t="s">
        <v>663</v>
      </c>
      <c r="B26" s="14" t="s">
        <v>664</v>
      </c>
      <c r="C26" s="15" t="s">
        <v>695</v>
      </c>
      <c r="D26" s="16" t="s">
        <v>696</v>
      </c>
      <c r="E26" s="17">
        <v>2</v>
      </c>
      <c r="F26" s="18" t="s">
        <v>45</v>
      </c>
      <c r="G26" s="16" t="s">
        <v>697</v>
      </c>
      <c r="H26" s="16"/>
    </row>
    <row r="27" spans="1:8" ht="30" customHeight="1" x14ac:dyDescent="0.2">
      <c r="A27" s="19" t="s">
        <v>663</v>
      </c>
      <c r="B27" s="19" t="s">
        <v>664</v>
      </c>
      <c r="C27" s="20" t="s">
        <v>698</v>
      </c>
      <c r="D27" s="21" t="s">
        <v>699</v>
      </c>
      <c r="E27" s="23">
        <v>3</v>
      </c>
      <c r="F27" s="18" t="s">
        <v>76</v>
      </c>
      <c r="G27" s="21" t="s">
        <v>700</v>
      </c>
      <c r="H27" s="21"/>
    </row>
    <row r="28" spans="1:8" ht="30" customHeight="1" x14ac:dyDescent="0.2">
      <c r="A28" s="14" t="s">
        <v>663</v>
      </c>
      <c r="B28" s="14" t="s">
        <v>664</v>
      </c>
      <c r="C28" s="15" t="s">
        <v>701</v>
      </c>
      <c r="D28" s="16" t="s">
        <v>702</v>
      </c>
      <c r="E28" s="23">
        <v>3</v>
      </c>
      <c r="F28" s="18" t="s">
        <v>76</v>
      </c>
      <c r="G28" s="16"/>
      <c r="H28" s="16"/>
    </row>
    <row r="29" spans="1:8" ht="30" customHeight="1" x14ac:dyDescent="0.2">
      <c r="A29" s="19" t="s">
        <v>663</v>
      </c>
      <c r="B29" s="19" t="s">
        <v>664</v>
      </c>
      <c r="C29" s="20" t="s">
        <v>703</v>
      </c>
      <c r="D29" s="21" t="s">
        <v>704</v>
      </c>
      <c r="E29" s="23">
        <v>3</v>
      </c>
      <c r="F29" s="18" t="s">
        <v>76</v>
      </c>
      <c r="G29" s="21"/>
      <c r="H29" s="21"/>
    </row>
    <row r="30" spans="1:8" ht="30" customHeight="1" x14ac:dyDescent="0.2">
      <c r="A30" s="14" t="s">
        <v>663</v>
      </c>
      <c r="B30" s="14" t="s">
        <v>664</v>
      </c>
      <c r="C30" s="15" t="s">
        <v>705</v>
      </c>
      <c r="D30" s="16" t="s">
        <v>706</v>
      </c>
      <c r="E30" s="23">
        <v>3</v>
      </c>
      <c r="F30" s="18" t="s">
        <v>76</v>
      </c>
      <c r="G30" s="16"/>
      <c r="H30" s="16"/>
    </row>
    <row r="31" spans="1:8" ht="30" customHeight="1" x14ac:dyDescent="0.2">
      <c r="A31" s="19" t="s">
        <v>663</v>
      </c>
      <c r="B31" s="19" t="s">
        <v>664</v>
      </c>
      <c r="C31" s="20" t="s">
        <v>707</v>
      </c>
      <c r="D31" s="21" t="s">
        <v>708</v>
      </c>
      <c r="E31" s="23">
        <v>3</v>
      </c>
      <c r="F31" s="18" t="s">
        <v>76</v>
      </c>
      <c r="G31" s="21"/>
      <c r="H31" s="21"/>
    </row>
    <row r="32" spans="1:8" ht="18" customHeight="1" x14ac:dyDescent="0.2">
      <c r="A32" s="13" t="s">
        <v>709</v>
      </c>
      <c r="B32" s="13" t="s">
        <v>710</v>
      </c>
      <c r="C32" s="13"/>
      <c r="D32" s="13"/>
      <c r="E32" s="13"/>
      <c r="F32" s="13"/>
      <c r="G32" s="13"/>
      <c r="H32" s="13"/>
    </row>
    <row r="33" spans="1:8" ht="30" customHeight="1" x14ac:dyDescent="0.2">
      <c r="A33" s="14" t="s">
        <v>709</v>
      </c>
      <c r="B33" s="14" t="s">
        <v>710</v>
      </c>
      <c r="C33" s="15" t="s">
        <v>711</v>
      </c>
      <c r="D33" s="16" t="s">
        <v>712</v>
      </c>
      <c r="E33" s="17">
        <v>2</v>
      </c>
      <c r="F33" s="18" t="s">
        <v>76</v>
      </c>
      <c r="G33" s="16" t="s">
        <v>713</v>
      </c>
      <c r="H33" s="16"/>
    </row>
    <row r="34" spans="1:8" ht="30" customHeight="1" x14ac:dyDescent="0.2">
      <c r="A34" s="19" t="s">
        <v>709</v>
      </c>
      <c r="B34" s="19" t="s">
        <v>710</v>
      </c>
      <c r="C34" s="20" t="s">
        <v>714</v>
      </c>
      <c r="D34" s="21" t="s">
        <v>715</v>
      </c>
      <c r="E34" s="17">
        <v>2</v>
      </c>
      <c r="F34" s="18" t="s">
        <v>45</v>
      </c>
      <c r="G34" s="21" t="s">
        <v>716</v>
      </c>
      <c r="H34" s="21" t="s">
        <v>717</v>
      </c>
    </row>
    <row r="35" spans="1:8" ht="30" customHeight="1" x14ac:dyDescent="0.2">
      <c r="A35" s="14" t="s">
        <v>709</v>
      </c>
      <c r="B35" s="14" t="s">
        <v>710</v>
      </c>
      <c r="C35" s="15" t="s">
        <v>718</v>
      </c>
      <c r="D35" s="16" t="s">
        <v>719</v>
      </c>
      <c r="E35" s="17">
        <v>2</v>
      </c>
      <c r="F35" s="18" t="s">
        <v>45</v>
      </c>
      <c r="G35" s="16" t="s">
        <v>720</v>
      </c>
      <c r="H35" s="16" t="s">
        <v>721</v>
      </c>
    </row>
    <row r="36" spans="1:8" ht="30" customHeight="1" x14ac:dyDescent="0.2">
      <c r="A36" s="19" t="s">
        <v>709</v>
      </c>
      <c r="B36" s="19" t="s">
        <v>710</v>
      </c>
      <c r="C36" s="20" t="s">
        <v>722</v>
      </c>
      <c r="D36" s="21" t="s">
        <v>723</v>
      </c>
      <c r="E36" s="17">
        <v>2</v>
      </c>
      <c r="F36" s="18" t="s">
        <v>45</v>
      </c>
      <c r="G36" s="21"/>
      <c r="H36" s="21"/>
    </row>
    <row r="37" spans="1:8" ht="30" customHeight="1" x14ac:dyDescent="0.2">
      <c r="A37" s="14" t="s">
        <v>709</v>
      </c>
      <c r="B37" s="14" t="s">
        <v>710</v>
      </c>
      <c r="C37" s="15" t="s">
        <v>724</v>
      </c>
      <c r="D37" s="16" t="s">
        <v>725</v>
      </c>
      <c r="E37" s="17">
        <v>2</v>
      </c>
      <c r="F37" s="18" t="s">
        <v>76</v>
      </c>
      <c r="G37" s="16"/>
      <c r="H37" s="16"/>
    </row>
    <row r="38" spans="1:8" ht="18" customHeight="1" x14ac:dyDescent="0.2">
      <c r="A38" s="13" t="s">
        <v>726</v>
      </c>
      <c r="B38" s="13" t="s">
        <v>727</v>
      </c>
      <c r="C38" s="13"/>
      <c r="D38" s="13"/>
      <c r="E38" s="13"/>
      <c r="F38" s="13"/>
      <c r="G38" s="13"/>
      <c r="H38" s="13"/>
    </row>
    <row r="39" spans="1:8" ht="30" customHeight="1" x14ac:dyDescent="0.2">
      <c r="A39" s="14" t="s">
        <v>726</v>
      </c>
      <c r="B39" s="14" t="s">
        <v>727</v>
      </c>
      <c r="C39" s="15" t="s">
        <v>728</v>
      </c>
      <c r="D39" s="16" t="s">
        <v>729</v>
      </c>
      <c r="E39" s="17">
        <v>2</v>
      </c>
      <c r="F39" s="18" t="s">
        <v>76</v>
      </c>
      <c r="G39" s="16" t="s">
        <v>730</v>
      </c>
      <c r="H39" s="16"/>
    </row>
    <row r="40" spans="1:8" ht="30" customHeight="1" x14ac:dyDescent="0.2">
      <c r="A40" s="19" t="s">
        <v>726</v>
      </c>
      <c r="B40" s="19" t="s">
        <v>727</v>
      </c>
      <c r="C40" s="20" t="s">
        <v>731</v>
      </c>
      <c r="D40" s="21" t="s">
        <v>732</v>
      </c>
      <c r="E40" s="17">
        <v>2</v>
      </c>
      <c r="F40" s="18" t="s">
        <v>76</v>
      </c>
      <c r="G40" s="21"/>
      <c r="H40" s="21"/>
    </row>
    <row r="41" spans="1:8" ht="18" customHeight="1" x14ac:dyDescent="0.2">
      <c r="A41" s="13" t="s">
        <v>733</v>
      </c>
      <c r="B41" s="13" t="s">
        <v>734</v>
      </c>
      <c r="C41" s="13"/>
      <c r="D41" s="13"/>
      <c r="E41" s="13"/>
      <c r="F41" s="13"/>
      <c r="G41" s="13"/>
      <c r="H41" s="13"/>
    </row>
    <row r="42" spans="1:8" ht="30" customHeight="1" x14ac:dyDescent="0.2">
      <c r="A42" s="14" t="s">
        <v>733</v>
      </c>
      <c r="B42" s="14" t="s">
        <v>734</v>
      </c>
      <c r="C42" s="15" t="s">
        <v>735</v>
      </c>
      <c r="D42" s="16" t="s">
        <v>736</v>
      </c>
      <c r="E42" s="17">
        <v>2</v>
      </c>
      <c r="F42" s="18" t="s">
        <v>45</v>
      </c>
      <c r="G42" s="16"/>
      <c r="H42" s="16"/>
    </row>
    <row r="43" spans="1:8" ht="30" customHeight="1" x14ac:dyDescent="0.2">
      <c r="A43" s="19" t="s">
        <v>733</v>
      </c>
      <c r="B43" s="19" t="s">
        <v>734</v>
      </c>
      <c r="C43" s="20" t="s">
        <v>737</v>
      </c>
      <c r="D43" s="21" t="s">
        <v>738</v>
      </c>
      <c r="E43" s="17">
        <v>2</v>
      </c>
      <c r="F43" s="18" t="s">
        <v>45</v>
      </c>
      <c r="G43" s="21" t="s">
        <v>739</v>
      </c>
      <c r="H43" s="21"/>
    </row>
    <row r="44" spans="1:8" ht="30" customHeight="1" x14ac:dyDescent="0.2">
      <c r="A44" s="14" t="s">
        <v>733</v>
      </c>
      <c r="B44" s="14" t="s">
        <v>734</v>
      </c>
      <c r="C44" s="15" t="s">
        <v>740</v>
      </c>
      <c r="D44" s="16" t="s">
        <v>741</v>
      </c>
      <c r="E44" s="17">
        <v>2</v>
      </c>
      <c r="F44" s="18" t="s">
        <v>45</v>
      </c>
      <c r="G44" s="16"/>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69" zoomScaleNormal="75" workbookViewId="0">
      <pane ySplit="1" topLeftCell="A16" activePane="bottomLeft" state="frozen"/>
      <selection pane="bottomLeft" activeCell="M22" sqref="M2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742</v>
      </c>
      <c r="B2" s="13" t="s">
        <v>743</v>
      </c>
      <c r="C2" s="13"/>
      <c r="D2" s="13"/>
      <c r="E2" s="13"/>
      <c r="F2" s="13"/>
      <c r="G2" s="13"/>
      <c r="H2" s="13"/>
    </row>
    <row r="3" spans="1:8" ht="30" customHeight="1" x14ac:dyDescent="0.2">
      <c r="A3" s="14" t="s">
        <v>742</v>
      </c>
      <c r="B3" s="14" t="s">
        <v>743</v>
      </c>
      <c r="C3" s="15" t="s">
        <v>744</v>
      </c>
      <c r="D3" s="16" t="s">
        <v>745</v>
      </c>
      <c r="E3" s="17">
        <v>2</v>
      </c>
      <c r="F3" s="18" t="s">
        <v>45</v>
      </c>
      <c r="G3" s="16" t="s">
        <v>746</v>
      </c>
      <c r="H3" s="16"/>
    </row>
    <row r="4" spans="1:8" ht="30" customHeight="1" x14ac:dyDescent="0.2">
      <c r="A4" s="19" t="s">
        <v>742</v>
      </c>
      <c r="B4" s="19" t="s">
        <v>743</v>
      </c>
      <c r="C4" s="20" t="s">
        <v>747</v>
      </c>
      <c r="D4" s="21" t="s">
        <v>748</v>
      </c>
      <c r="E4" s="17">
        <v>2</v>
      </c>
      <c r="F4" s="18" t="s">
        <v>45</v>
      </c>
      <c r="G4" s="21"/>
      <c r="H4" s="21"/>
    </row>
    <row r="5" spans="1:8" ht="30" customHeight="1" x14ac:dyDescent="0.2">
      <c r="A5" s="14" t="s">
        <v>742</v>
      </c>
      <c r="B5" s="14" t="s">
        <v>743</v>
      </c>
      <c r="C5" s="15" t="s">
        <v>749</v>
      </c>
      <c r="D5" s="16" t="s">
        <v>750</v>
      </c>
      <c r="E5" s="23">
        <v>3</v>
      </c>
      <c r="F5" s="18" t="s">
        <v>45</v>
      </c>
      <c r="G5" s="16" t="s">
        <v>751</v>
      </c>
      <c r="H5" s="16"/>
    </row>
    <row r="6" spans="1:8" ht="30" customHeight="1" x14ac:dyDescent="0.2">
      <c r="A6" s="19" t="s">
        <v>742</v>
      </c>
      <c r="B6" s="19" t="s">
        <v>743</v>
      </c>
      <c r="C6" s="20" t="s">
        <v>752</v>
      </c>
      <c r="D6" s="21" t="s">
        <v>753</v>
      </c>
      <c r="E6" s="23">
        <v>3</v>
      </c>
      <c r="F6" s="18" t="s">
        <v>45</v>
      </c>
      <c r="G6" s="21"/>
      <c r="H6" s="21"/>
    </row>
    <row r="7" spans="1:8" ht="18" customHeight="1" x14ac:dyDescent="0.2">
      <c r="A7" s="13" t="s">
        <v>754</v>
      </c>
      <c r="B7" s="13" t="s">
        <v>755</v>
      </c>
      <c r="C7" s="13"/>
      <c r="D7" s="13"/>
      <c r="E7" s="13"/>
      <c r="F7" s="13"/>
      <c r="G7" s="13"/>
      <c r="H7" s="13"/>
    </row>
    <row r="8" spans="1:8" ht="30" customHeight="1" x14ac:dyDescent="0.2">
      <c r="A8" s="14" t="s">
        <v>754</v>
      </c>
      <c r="B8" s="14" t="s">
        <v>755</v>
      </c>
      <c r="C8" s="15" t="s">
        <v>756</v>
      </c>
      <c r="D8" s="16" t="s">
        <v>757</v>
      </c>
      <c r="E8" s="17">
        <v>2</v>
      </c>
      <c r="F8" s="18" t="s">
        <v>45</v>
      </c>
      <c r="G8" s="16" t="s">
        <v>758</v>
      </c>
      <c r="H8" s="16"/>
    </row>
    <row r="9" spans="1:8" ht="30" customHeight="1" x14ac:dyDescent="0.2">
      <c r="A9" s="19" t="s">
        <v>754</v>
      </c>
      <c r="B9" s="19" t="s">
        <v>755</v>
      </c>
      <c r="C9" s="20" t="s">
        <v>759</v>
      </c>
      <c r="D9" s="21" t="s">
        <v>760</v>
      </c>
      <c r="E9" s="17">
        <v>2</v>
      </c>
      <c r="F9" s="18" t="s">
        <v>45</v>
      </c>
      <c r="G9" s="21"/>
      <c r="H9" s="21"/>
    </row>
    <row r="10" spans="1:8" ht="30" customHeight="1" x14ac:dyDescent="0.2">
      <c r="A10" s="14" t="s">
        <v>754</v>
      </c>
      <c r="B10" s="14" t="s">
        <v>755</v>
      </c>
      <c r="C10" s="15" t="s">
        <v>761</v>
      </c>
      <c r="D10" s="16" t="s">
        <v>762</v>
      </c>
      <c r="E10" s="17">
        <v>2</v>
      </c>
      <c r="F10" s="18" t="s">
        <v>45</v>
      </c>
      <c r="G10" s="16" t="s">
        <v>763</v>
      </c>
      <c r="H10" s="16"/>
    </row>
    <row r="11" spans="1:8" ht="30" customHeight="1" x14ac:dyDescent="0.2">
      <c r="A11" s="19" t="s">
        <v>754</v>
      </c>
      <c r="B11" s="19" t="s">
        <v>755</v>
      </c>
      <c r="C11" s="20" t="s">
        <v>764</v>
      </c>
      <c r="D11" s="21" t="s">
        <v>765</v>
      </c>
      <c r="E11" s="23">
        <v>3</v>
      </c>
      <c r="F11" s="18" t="s">
        <v>45</v>
      </c>
      <c r="G11" s="21"/>
      <c r="H11" s="21"/>
    </row>
    <row r="12" spans="1:8" ht="30" customHeight="1" x14ac:dyDescent="0.2">
      <c r="A12" s="14" t="s">
        <v>754</v>
      </c>
      <c r="B12" s="14" t="s">
        <v>755</v>
      </c>
      <c r="C12" s="15" t="s">
        <v>766</v>
      </c>
      <c r="D12" s="16" t="s">
        <v>767</v>
      </c>
      <c r="E12" s="23">
        <v>3</v>
      </c>
      <c r="F12" s="18" t="s">
        <v>45</v>
      </c>
      <c r="G12" s="16"/>
      <c r="H12" s="16"/>
    </row>
    <row r="13" spans="1:8" ht="18" customHeight="1" x14ac:dyDescent="0.2">
      <c r="A13" s="13" t="s">
        <v>768</v>
      </c>
      <c r="B13" s="13" t="s">
        <v>769</v>
      </c>
      <c r="C13" s="13"/>
      <c r="D13" s="13"/>
      <c r="E13" s="13"/>
      <c r="F13" s="13"/>
      <c r="G13" s="13"/>
      <c r="H13" s="13"/>
    </row>
    <row r="14" spans="1:8" ht="30" customHeight="1" x14ac:dyDescent="0.2">
      <c r="A14" s="14" t="s">
        <v>768</v>
      </c>
      <c r="B14" s="14" t="s">
        <v>769</v>
      </c>
      <c r="C14" s="15" t="s">
        <v>770</v>
      </c>
      <c r="D14" s="16" t="s">
        <v>771</v>
      </c>
      <c r="E14" s="22">
        <v>1</v>
      </c>
      <c r="F14" s="18" t="s">
        <v>45</v>
      </c>
      <c r="G14" s="16" t="s">
        <v>772</v>
      </c>
      <c r="H14" s="16"/>
    </row>
    <row r="15" spans="1:8" ht="30" customHeight="1" x14ac:dyDescent="0.2">
      <c r="A15" s="19" t="s">
        <v>768</v>
      </c>
      <c r="B15" s="19" t="s">
        <v>769</v>
      </c>
      <c r="C15" s="20" t="s">
        <v>773</v>
      </c>
      <c r="D15" s="21" t="s">
        <v>774</v>
      </c>
      <c r="E15" s="22">
        <v>1</v>
      </c>
      <c r="F15" s="18" t="s">
        <v>45</v>
      </c>
      <c r="G15" s="21"/>
      <c r="H15" s="21"/>
    </row>
    <row r="16" spans="1:8" ht="30" customHeight="1" x14ac:dyDescent="0.25">
      <c r="A16" s="14" t="s">
        <v>768</v>
      </c>
      <c r="B16" s="14" t="s">
        <v>769</v>
      </c>
      <c r="C16" s="15" t="s">
        <v>775</v>
      </c>
      <c r="D16" s="16" t="s">
        <v>776</v>
      </c>
      <c r="E16" s="17">
        <v>2</v>
      </c>
      <c r="F16" s="18" t="s">
        <v>45</v>
      </c>
      <c r="G16" s="16"/>
      <c r="H16" s="24"/>
    </row>
    <row r="17" spans="1:8" ht="30" customHeight="1" x14ac:dyDescent="0.2">
      <c r="A17" s="19" t="s">
        <v>768</v>
      </c>
      <c r="B17" s="19" t="s">
        <v>769</v>
      </c>
      <c r="C17" s="20" t="s">
        <v>777</v>
      </c>
      <c r="D17" s="21" t="s">
        <v>778</v>
      </c>
      <c r="E17" s="23">
        <v>3</v>
      </c>
      <c r="F17" s="18" t="s">
        <v>45</v>
      </c>
      <c r="G17" s="21"/>
      <c r="H17" s="21"/>
    </row>
    <row r="18" spans="1:8" ht="30" customHeight="1" x14ac:dyDescent="0.2">
      <c r="A18" s="14" t="s">
        <v>768</v>
      </c>
      <c r="B18" s="14" t="s">
        <v>769</v>
      </c>
      <c r="C18" s="15" t="s">
        <v>779</v>
      </c>
      <c r="D18" s="16" t="s">
        <v>780</v>
      </c>
      <c r="E18" s="23">
        <v>3</v>
      </c>
      <c r="F18" s="18" t="s">
        <v>45</v>
      </c>
      <c r="G18" s="16"/>
      <c r="H18" s="16"/>
    </row>
    <row r="19" spans="1:8" ht="18" customHeight="1" x14ac:dyDescent="0.2">
      <c r="A19" s="13" t="s">
        <v>781</v>
      </c>
      <c r="B19" s="13" t="s">
        <v>782</v>
      </c>
      <c r="C19" s="13"/>
      <c r="D19" s="13"/>
      <c r="E19" s="13"/>
      <c r="F19" s="13"/>
      <c r="G19" s="13"/>
      <c r="H19" s="13"/>
    </row>
    <row r="20" spans="1:8" ht="30" customHeight="1" x14ac:dyDescent="0.2">
      <c r="A20" s="14" t="s">
        <v>781</v>
      </c>
      <c r="B20" s="14" t="s">
        <v>782</v>
      </c>
      <c r="C20" s="15" t="s">
        <v>783</v>
      </c>
      <c r="D20" s="16" t="s">
        <v>784</v>
      </c>
      <c r="E20" s="22">
        <v>1</v>
      </c>
      <c r="F20" s="18" t="s">
        <v>45</v>
      </c>
      <c r="G20" s="16" t="s">
        <v>785</v>
      </c>
      <c r="H20" s="16" t="s">
        <v>786</v>
      </c>
    </row>
    <row r="21" spans="1:8" ht="30" customHeight="1" x14ac:dyDescent="0.2">
      <c r="A21" s="19" t="s">
        <v>781</v>
      </c>
      <c r="B21" s="19" t="s">
        <v>782</v>
      </c>
      <c r="C21" s="20" t="s">
        <v>787</v>
      </c>
      <c r="D21" s="21" t="s">
        <v>788</v>
      </c>
      <c r="E21" s="17">
        <v>2</v>
      </c>
      <c r="F21" s="18" t="s">
        <v>45</v>
      </c>
      <c r="G21" s="21"/>
      <c r="H21" s="21"/>
    </row>
    <row r="22" spans="1:8" ht="30" customHeight="1" x14ac:dyDescent="0.2">
      <c r="A22" s="14" t="s">
        <v>781</v>
      </c>
      <c r="B22" s="14" t="s">
        <v>782</v>
      </c>
      <c r="C22" s="15" t="s">
        <v>789</v>
      </c>
      <c r="D22" s="16" t="s">
        <v>790</v>
      </c>
      <c r="E22" s="17">
        <v>2</v>
      </c>
      <c r="F22" s="18" t="s">
        <v>45</v>
      </c>
      <c r="G22" s="16"/>
      <c r="H22" s="16"/>
    </row>
    <row r="23" spans="1:8" ht="30" customHeight="1" x14ac:dyDescent="0.2">
      <c r="A23" s="19" t="s">
        <v>781</v>
      </c>
      <c r="B23" s="19" t="s">
        <v>782</v>
      </c>
      <c r="C23" s="20" t="s">
        <v>791</v>
      </c>
      <c r="D23" s="21" t="s">
        <v>792</v>
      </c>
      <c r="E23" s="17">
        <v>2</v>
      </c>
      <c r="F23" s="18" t="s">
        <v>45</v>
      </c>
      <c r="G23" s="21"/>
    </row>
    <row r="24" spans="1:8" ht="18" customHeight="1" x14ac:dyDescent="0.2">
      <c r="A24" s="13" t="s">
        <v>793</v>
      </c>
      <c r="B24" s="13" t="s">
        <v>794</v>
      </c>
      <c r="C24" s="13"/>
      <c r="D24" s="13"/>
      <c r="E24" s="13"/>
      <c r="F24" s="13"/>
      <c r="G24" s="13"/>
      <c r="H24" s="13"/>
    </row>
    <row r="25" spans="1:8" ht="30" customHeight="1" x14ac:dyDescent="0.2">
      <c r="A25" s="14" t="s">
        <v>793</v>
      </c>
      <c r="B25" s="14" t="s">
        <v>794</v>
      </c>
      <c r="C25" s="15" t="s">
        <v>795</v>
      </c>
      <c r="D25" s="16" t="s">
        <v>796</v>
      </c>
      <c r="E25" s="17">
        <v>2</v>
      </c>
      <c r="F25" s="18" t="s">
        <v>45</v>
      </c>
      <c r="G25" s="16"/>
      <c r="H25" s="16"/>
    </row>
    <row r="26" spans="1:8" ht="30" customHeight="1" x14ac:dyDescent="0.2">
      <c r="A26" s="19" t="s">
        <v>793</v>
      </c>
      <c r="B26" s="19" t="s">
        <v>794</v>
      </c>
      <c r="C26" s="20" t="s">
        <v>797</v>
      </c>
      <c r="D26" s="21" t="s">
        <v>798</v>
      </c>
      <c r="E26" s="23">
        <v>3</v>
      </c>
      <c r="F26" s="18" t="s">
        <v>45</v>
      </c>
      <c r="G26" s="21" t="s">
        <v>799</v>
      </c>
      <c r="H26" s="21"/>
    </row>
    <row r="27" spans="1:8" ht="18" customHeight="1" x14ac:dyDescent="0.2">
      <c r="A27" s="13" t="s">
        <v>800</v>
      </c>
      <c r="B27" s="13" t="s">
        <v>801</v>
      </c>
      <c r="C27" s="13"/>
      <c r="D27" s="13"/>
      <c r="E27" s="13"/>
      <c r="F27" s="13"/>
      <c r="G27" s="13"/>
      <c r="H27" s="13"/>
    </row>
    <row r="28" spans="1:8" ht="30" customHeight="1" x14ac:dyDescent="0.2">
      <c r="A28" s="14" t="s">
        <v>800</v>
      </c>
      <c r="B28" s="14" t="s">
        <v>801</v>
      </c>
      <c r="C28" s="15" t="s">
        <v>802</v>
      </c>
      <c r="D28" s="16" t="s">
        <v>803</v>
      </c>
      <c r="E28" s="17">
        <v>2</v>
      </c>
      <c r="F28" s="18" t="s">
        <v>45</v>
      </c>
      <c r="G28" s="16" t="s">
        <v>804</v>
      </c>
      <c r="H28" s="16"/>
    </row>
    <row r="29" spans="1:8" ht="30" customHeight="1" x14ac:dyDescent="0.2">
      <c r="A29" s="19" t="s">
        <v>800</v>
      </c>
      <c r="B29" s="19" t="s">
        <v>801</v>
      </c>
      <c r="C29" s="20" t="s">
        <v>805</v>
      </c>
      <c r="D29" s="21" t="s">
        <v>806</v>
      </c>
      <c r="E29" s="23">
        <v>3</v>
      </c>
      <c r="F29" s="18" t="s">
        <v>45</v>
      </c>
      <c r="G29" s="21"/>
      <c r="H29" s="21"/>
    </row>
    <row r="30" spans="1:8" ht="18" customHeight="1" x14ac:dyDescent="0.2">
      <c r="A30" s="13" t="s">
        <v>807</v>
      </c>
      <c r="B30" s="13" t="s">
        <v>808</v>
      </c>
      <c r="C30" s="13"/>
      <c r="D30" s="13"/>
      <c r="E30" s="13"/>
      <c r="F30" s="13"/>
      <c r="G30" s="13"/>
      <c r="H30" s="13"/>
    </row>
    <row r="31" spans="1:8" ht="30" customHeight="1" x14ac:dyDescent="0.2">
      <c r="A31" s="14" t="s">
        <v>807</v>
      </c>
      <c r="B31" s="14" t="s">
        <v>808</v>
      </c>
      <c r="C31" s="15" t="s">
        <v>809</v>
      </c>
      <c r="D31" s="16" t="s">
        <v>810</v>
      </c>
      <c r="E31" s="23">
        <v>3</v>
      </c>
      <c r="F31" s="18" t="s">
        <v>76</v>
      </c>
      <c r="G31" s="16" t="s">
        <v>811</v>
      </c>
      <c r="H31" s="16"/>
    </row>
    <row r="32" spans="1:8" ht="30" customHeight="1" x14ac:dyDescent="0.2">
      <c r="A32" s="19" t="s">
        <v>807</v>
      </c>
      <c r="B32" s="19" t="s">
        <v>808</v>
      </c>
      <c r="C32" s="20" t="s">
        <v>812</v>
      </c>
      <c r="D32" s="21" t="s">
        <v>813</v>
      </c>
      <c r="E32" s="23">
        <v>3</v>
      </c>
      <c r="F32" s="18" t="s">
        <v>56</v>
      </c>
      <c r="G32" s="21" t="s">
        <v>814</v>
      </c>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89" zoomScaleNormal="75" workbookViewId="0">
      <pane ySplit="1" topLeftCell="A10" activePane="bottomLeft" state="frozen"/>
      <selection pane="bottomLeft" activeCell="F16" sqref="F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815</v>
      </c>
      <c r="B2" s="13" t="s">
        <v>816</v>
      </c>
      <c r="C2" s="13"/>
      <c r="D2" s="13"/>
      <c r="E2" s="13"/>
      <c r="F2" s="13"/>
      <c r="G2" s="13"/>
      <c r="H2" s="13"/>
    </row>
    <row r="3" spans="1:8" ht="30" customHeight="1" x14ac:dyDescent="0.2">
      <c r="A3" s="14" t="s">
        <v>815</v>
      </c>
      <c r="B3" s="14" t="s">
        <v>816</v>
      </c>
      <c r="C3" s="15" t="s">
        <v>817</v>
      </c>
      <c r="D3" s="16" t="s">
        <v>818</v>
      </c>
      <c r="E3" s="22">
        <v>1</v>
      </c>
      <c r="F3" s="18" t="s">
        <v>45</v>
      </c>
      <c r="G3" s="16"/>
      <c r="H3" s="16" t="s">
        <v>819</v>
      </c>
    </row>
    <row r="4" spans="1:8" ht="30" customHeight="1" x14ac:dyDescent="0.2">
      <c r="A4" s="19" t="s">
        <v>815</v>
      </c>
      <c r="B4" s="19" t="s">
        <v>816</v>
      </c>
      <c r="C4" s="20" t="s">
        <v>820</v>
      </c>
      <c r="D4" s="21" t="s">
        <v>821</v>
      </c>
      <c r="E4" s="17">
        <v>2</v>
      </c>
      <c r="F4" s="18" t="s">
        <v>45</v>
      </c>
      <c r="G4" s="21"/>
      <c r="H4" s="21"/>
    </row>
    <row r="5" spans="1:8" ht="30" customHeight="1" x14ac:dyDescent="0.2">
      <c r="A5" s="14" t="s">
        <v>815</v>
      </c>
      <c r="B5" s="14" t="s">
        <v>816</v>
      </c>
      <c r="C5" s="15" t="s">
        <v>822</v>
      </c>
      <c r="D5" s="16" t="s">
        <v>823</v>
      </c>
      <c r="E5" s="17">
        <v>2</v>
      </c>
      <c r="F5" s="18" t="s">
        <v>76</v>
      </c>
      <c r="G5" s="16" t="s">
        <v>824</v>
      </c>
      <c r="H5" s="16"/>
    </row>
    <row r="6" spans="1:8" ht="30" customHeight="1" x14ac:dyDescent="0.2">
      <c r="A6" s="19" t="s">
        <v>815</v>
      </c>
      <c r="B6" s="19" t="s">
        <v>816</v>
      </c>
      <c r="C6" s="20" t="s">
        <v>825</v>
      </c>
      <c r="D6" s="21" t="s">
        <v>826</v>
      </c>
      <c r="E6" s="23">
        <v>3</v>
      </c>
      <c r="F6" s="18" t="s">
        <v>45</v>
      </c>
      <c r="G6" s="21"/>
      <c r="H6" s="21"/>
    </row>
    <row r="7" spans="1:8" ht="30" customHeight="1" x14ac:dyDescent="0.2">
      <c r="A7" s="14" t="s">
        <v>815</v>
      </c>
      <c r="B7" s="14" t="s">
        <v>816</v>
      </c>
      <c r="C7" s="15" t="s">
        <v>827</v>
      </c>
      <c r="D7" s="16" t="s">
        <v>828</v>
      </c>
      <c r="E7" s="23">
        <v>3</v>
      </c>
      <c r="F7" s="18" t="s">
        <v>45</v>
      </c>
      <c r="G7" t="s">
        <v>829</v>
      </c>
      <c r="H7" s="16"/>
    </row>
    <row r="8" spans="1:8" ht="18" customHeight="1" x14ac:dyDescent="0.2">
      <c r="A8" s="13" t="s">
        <v>830</v>
      </c>
      <c r="B8" s="13" t="s">
        <v>831</v>
      </c>
      <c r="C8" s="13"/>
      <c r="D8" s="13"/>
      <c r="E8" s="13"/>
      <c r="F8" s="13"/>
      <c r="G8" s="13"/>
      <c r="H8" s="13"/>
    </row>
    <row r="9" spans="1:8" ht="30" customHeight="1" x14ac:dyDescent="0.2">
      <c r="A9" s="14" t="s">
        <v>830</v>
      </c>
      <c r="B9" s="14" t="s">
        <v>831</v>
      </c>
      <c r="C9" s="15" t="s">
        <v>832</v>
      </c>
      <c r="D9" s="16" t="s">
        <v>833</v>
      </c>
      <c r="E9" s="22">
        <v>1</v>
      </c>
      <c r="F9" s="18" t="s">
        <v>45</v>
      </c>
      <c r="G9" s="16" t="s">
        <v>834</v>
      </c>
      <c r="H9" s="16"/>
    </row>
    <row r="10" spans="1:8" ht="30" customHeight="1" x14ac:dyDescent="0.2">
      <c r="A10" s="19" t="s">
        <v>830</v>
      </c>
      <c r="B10" s="19" t="s">
        <v>831</v>
      </c>
      <c r="C10" s="20" t="s">
        <v>835</v>
      </c>
      <c r="D10" s="21" t="s">
        <v>836</v>
      </c>
      <c r="E10" s="22">
        <v>1</v>
      </c>
      <c r="F10" s="18" t="s">
        <v>45</v>
      </c>
      <c r="G10" s="21"/>
      <c r="H10" s="21"/>
    </row>
    <row r="11" spans="1:8" ht="18" customHeight="1" x14ac:dyDescent="0.2">
      <c r="A11" s="13" t="s">
        <v>837</v>
      </c>
      <c r="B11" s="13" t="s">
        <v>838</v>
      </c>
      <c r="C11" s="13"/>
      <c r="D11" s="13"/>
      <c r="E11" s="13"/>
      <c r="F11" s="13"/>
      <c r="G11" s="13"/>
      <c r="H11" s="13"/>
    </row>
    <row r="12" spans="1:8" ht="30" customHeight="1" x14ac:dyDescent="0.2">
      <c r="A12" s="14" t="s">
        <v>837</v>
      </c>
      <c r="B12" s="14" t="s">
        <v>838</v>
      </c>
      <c r="C12" s="15" t="s">
        <v>839</v>
      </c>
      <c r="D12" s="16" t="s">
        <v>840</v>
      </c>
      <c r="E12" s="17">
        <v>2</v>
      </c>
      <c r="F12" s="18" t="s">
        <v>45</v>
      </c>
      <c r="G12" s="16"/>
      <c r="H12" s="16"/>
    </row>
    <row r="13" spans="1:8" ht="30" customHeight="1" x14ac:dyDescent="0.2">
      <c r="A13" s="19" t="s">
        <v>837</v>
      </c>
      <c r="B13" s="19" t="s">
        <v>838</v>
      </c>
      <c r="C13" s="20" t="s">
        <v>841</v>
      </c>
      <c r="D13" s="21" t="s">
        <v>842</v>
      </c>
      <c r="E13" s="17">
        <v>2</v>
      </c>
      <c r="F13" s="18" t="s">
        <v>45</v>
      </c>
      <c r="G13" s="21" t="s">
        <v>843</v>
      </c>
      <c r="H13" s="21"/>
    </row>
    <row r="14" spans="1:8" ht="30" customHeight="1" x14ac:dyDescent="0.2">
      <c r="A14" s="14" t="s">
        <v>837</v>
      </c>
      <c r="B14" s="14" t="s">
        <v>838</v>
      </c>
      <c r="C14" s="15" t="s">
        <v>844</v>
      </c>
      <c r="D14" s="16" t="s">
        <v>845</v>
      </c>
      <c r="E14" s="17">
        <v>2</v>
      </c>
      <c r="F14" s="18" t="s">
        <v>45</v>
      </c>
      <c r="G14" s="16"/>
      <c r="H14" s="16"/>
    </row>
    <row r="15" spans="1:8" ht="30" customHeight="1" x14ac:dyDescent="0.2">
      <c r="A15" s="19" t="s">
        <v>837</v>
      </c>
      <c r="B15" s="19" t="s">
        <v>838</v>
      </c>
      <c r="C15" s="20" t="s">
        <v>846</v>
      </c>
      <c r="D15" s="21" t="s">
        <v>847</v>
      </c>
      <c r="E15" s="17">
        <v>2</v>
      </c>
      <c r="F15" s="18" t="s">
        <v>76</v>
      </c>
      <c r="G15" s="21" t="s">
        <v>848</v>
      </c>
      <c r="H15" s="21"/>
    </row>
    <row r="16" spans="1:8" ht="30" customHeight="1" x14ac:dyDescent="0.2">
      <c r="A16" s="14" t="s">
        <v>837</v>
      </c>
      <c r="B16" s="14" t="s">
        <v>838</v>
      </c>
      <c r="C16" s="15" t="s">
        <v>849</v>
      </c>
      <c r="D16" s="16" t="s">
        <v>850</v>
      </c>
      <c r="E16" s="23">
        <v>3</v>
      </c>
      <c r="F16" s="18" t="s">
        <v>76</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topLeftCell="B1" zoomScale="117" zoomScaleNormal="75" workbookViewId="0">
      <pane ySplit="1" topLeftCell="A12" activePane="bottomLeft" state="frozen"/>
      <selection pane="bottomLeft" activeCell="D17" sqref="D1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851</v>
      </c>
      <c r="B2" s="13" t="s">
        <v>852</v>
      </c>
      <c r="C2" s="13"/>
      <c r="D2" s="13"/>
      <c r="E2" s="13"/>
      <c r="F2" s="13"/>
      <c r="G2" s="13"/>
      <c r="H2" s="13"/>
    </row>
    <row r="3" spans="1:8" ht="30" customHeight="1" x14ac:dyDescent="0.2">
      <c r="A3" s="14" t="s">
        <v>851</v>
      </c>
      <c r="B3" s="14" t="s">
        <v>852</v>
      </c>
      <c r="C3" s="15" t="s">
        <v>853</v>
      </c>
      <c r="D3" s="16" t="s">
        <v>854</v>
      </c>
      <c r="E3" s="17">
        <v>2</v>
      </c>
      <c r="F3" s="18" t="s">
        <v>56</v>
      </c>
      <c r="G3" s="16" t="s">
        <v>855</v>
      </c>
      <c r="H3" s="16" t="s">
        <v>856</v>
      </c>
    </row>
    <row r="4" spans="1:8" ht="30" customHeight="1" x14ac:dyDescent="0.2">
      <c r="A4" s="19" t="s">
        <v>851</v>
      </c>
      <c r="B4" s="19" t="s">
        <v>852</v>
      </c>
      <c r="C4" s="20" t="s">
        <v>857</v>
      </c>
      <c r="D4" s="21" t="s">
        <v>858</v>
      </c>
      <c r="E4" s="23">
        <v>3</v>
      </c>
      <c r="F4" s="18" t="s">
        <v>195</v>
      </c>
      <c r="G4" s="21"/>
      <c r="H4" s="21"/>
    </row>
    <row r="5" spans="1:8" ht="30" customHeight="1" x14ac:dyDescent="0.2">
      <c r="A5" s="14" t="s">
        <v>851</v>
      </c>
      <c r="B5" s="14" t="s">
        <v>852</v>
      </c>
      <c r="C5" s="15" t="s">
        <v>859</v>
      </c>
      <c r="D5" s="16" t="s">
        <v>860</v>
      </c>
      <c r="E5" s="23">
        <v>3</v>
      </c>
      <c r="F5" s="18" t="s">
        <v>195</v>
      </c>
      <c r="G5" s="16"/>
      <c r="H5" s="16"/>
    </row>
    <row r="6" spans="1:8" ht="30" customHeight="1" x14ac:dyDescent="0.2">
      <c r="A6" s="19" t="s">
        <v>851</v>
      </c>
      <c r="B6" s="19" t="s">
        <v>852</v>
      </c>
      <c r="C6" s="20" t="s">
        <v>861</v>
      </c>
      <c r="D6" s="21" t="s">
        <v>862</v>
      </c>
      <c r="E6" s="23">
        <v>3</v>
      </c>
      <c r="F6" s="18" t="s">
        <v>195</v>
      </c>
      <c r="G6" s="21"/>
      <c r="H6" s="21"/>
    </row>
    <row r="7" spans="1:8" ht="18" customHeight="1" x14ac:dyDescent="0.2">
      <c r="A7" s="13" t="s">
        <v>863</v>
      </c>
      <c r="B7" s="13" t="s">
        <v>864</v>
      </c>
      <c r="C7" s="13"/>
      <c r="D7" s="13"/>
      <c r="E7" s="13"/>
      <c r="F7" s="13"/>
      <c r="G7" s="13"/>
      <c r="H7" s="13"/>
    </row>
    <row r="8" spans="1:8" ht="30" customHeight="1" x14ac:dyDescent="0.2">
      <c r="A8" s="14" t="s">
        <v>863</v>
      </c>
      <c r="B8" s="14" t="s">
        <v>864</v>
      </c>
      <c r="C8" s="15" t="s">
        <v>865</v>
      </c>
      <c r="D8" s="16" t="s">
        <v>866</v>
      </c>
      <c r="E8" s="17">
        <v>2</v>
      </c>
      <c r="F8" s="18" t="s">
        <v>195</v>
      </c>
      <c r="G8" s="16"/>
      <c r="H8" s="16"/>
    </row>
    <row r="9" spans="1:8" ht="30" customHeight="1" x14ac:dyDescent="0.2">
      <c r="A9" s="19" t="s">
        <v>863</v>
      </c>
      <c r="B9" s="19" t="s">
        <v>864</v>
      </c>
      <c r="C9" s="20" t="s">
        <v>867</v>
      </c>
      <c r="D9" s="21" t="s">
        <v>868</v>
      </c>
      <c r="E9" s="17">
        <v>2</v>
      </c>
      <c r="F9" s="18" t="s">
        <v>195</v>
      </c>
      <c r="G9" s="21"/>
      <c r="H9" s="21"/>
    </row>
    <row r="10" spans="1:8" ht="30" customHeight="1" x14ac:dyDescent="0.2">
      <c r="A10" s="14" t="s">
        <v>863</v>
      </c>
      <c r="B10" s="14" t="s">
        <v>864</v>
      </c>
      <c r="C10" s="15" t="s">
        <v>869</v>
      </c>
      <c r="D10" s="16" t="s">
        <v>870</v>
      </c>
      <c r="E10" s="17">
        <v>2</v>
      </c>
      <c r="F10" s="18" t="s">
        <v>195</v>
      </c>
      <c r="G10" s="16"/>
      <c r="H10" s="16"/>
    </row>
    <row r="11" spans="1:8" ht="30" customHeight="1" x14ac:dyDescent="0.2">
      <c r="A11" s="19" t="s">
        <v>863</v>
      </c>
      <c r="B11" s="19" t="s">
        <v>864</v>
      </c>
      <c r="C11" s="20" t="s">
        <v>871</v>
      </c>
      <c r="D11" s="21" t="s">
        <v>872</v>
      </c>
      <c r="E11" s="17">
        <v>2</v>
      </c>
      <c r="F11" s="18" t="s">
        <v>195</v>
      </c>
      <c r="G11" s="21"/>
      <c r="H11" s="21"/>
    </row>
    <row r="12" spans="1:8" ht="30" customHeight="1" x14ac:dyDescent="0.2">
      <c r="A12" s="14" t="s">
        <v>863</v>
      </c>
      <c r="B12" s="14" t="s">
        <v>864</v>
      </c>
      <c r="C12" s="15" t="s">
        <v>873</v>
      </c>
      <c r="D12" s="16" t="s">
        <v>874</v>
      </c>
      <c r="E12" s="17">
        <v>2</v>
      </c>
      <c r="F12" s="18" t="s">
        <v>195</v>
      </c>
      <c r="G12" s="16"/>
      <c r="H12" s="16"/>
    </row>
    <row r="13" spans="1:8" ht="30" customHeight="1" x14ac:dyDescent="0.2">
      <c r="A13" s="19" t="s">
        <v>863</v>
      </c>
      <c r="B13" s="19" t="s">
        <v>864</v>
      </c>
      <c r="C13" s="20" t="s">
        <v>875</v>
      </c>
      <c r="D13" s="21" t="s">
        <v>876</v>
      </c>
      <c r="E13" s="23">
        <v>3</v>
      </c>
      <c r="F13" s="18" t="s">
        <v>195</v>
      </c>
      <c r="G13" s="21"/>
      <c r="H13" s="21"/>
    </row>
    <row r="14" spans="1:8" ht="18" customHeight="1" x14ac:dyDescent="0.2">
      <c r="A14" s="13" t="s">
        <v>877</v>
      </c>
      <c r="B14" s="13" t="s">
        <v>878</v>
      </c>
      <c r="C14" s="13"/>
      <c r="D14" s="13"/>
      <c r="E14" s="13"/>
      <c r="F14" s="13"/>
      <c r="G14" s="13"/>
      <c r="H14" s="13"/>
    </row>
    <row r="15" spans="1:8" ht="30" customHeight="1" x14ac:dyDescent="0.2">
      <c r="A15" s="14" t="s">
        <v>877</v>
      </c>
      <c r="B15" s="14" t="s">
        <v>878</v>
      </c>
      <c r="C15" s="15" t="s">
        <v>879</v>
      </c>
      <c r="D15" s="16" t="s">
        <v>880</v>
      </c>
      <c r="E15" s="17">
        <v>2</v>
      </c>
      <c r="F15" s="18" t="s">
        <v>56</v>
      </c>
      <c r="G15" s="16" t="s">
        <v>881</v>
      </c>
      <c r="H15" s="16" t="s">
        <v>882</v>
      </c>
    </row>
    <row r="16" spans="1:8" ht="30" customHeight="1" x14ac:dyDescent="0.2">
      <c r="A16" s="19" t="s">
        <v>877</v>
      </c>
      <c r="B16" s="19" t="s">
        <v>878</v>
      </c>
      <c r="C16" s="20" t="s">
        <v>883</v>
      </c>
      <c r="D16" s="21" t="s">
        <v>884</v>
      </c>
      <c r="E16" s="17">
        <v>2</v>
      </c>
      <c r="F16" s="18" t="s">
        <v>195</v>
      </c>
      <c r="G16" s="21"/>
      <c r="H16" s="21"/>
    </row>
    <row r="17" spans="1:8" ht="30" customHeight="1" x14ac:dyDescent="0.2">
      <c r="A17" s="14" t="s">
        <v>877</v>
      </c>
      <c r="B17" s="14" t="s">
        <v>878</v>
      </c>
      <c r="C17" s="15" t="s">
        <v>885</v>
      </c>
      <c r="D17" s="16" t="s">
        <v>886</v>
      </c>
      <c r="E17" s="23">
        <v>3</v>
      </c>
      <c r="F17" s="18" t="s">
        <v>195</v>
      </c>
      <c r="G17" s="16"/>
      <c r="H17" s="16"/>
    </row>
    <row r="18" spans="1:8" ht="30" customHeight="1" x14ac:dyDescent="0.2">
      <c r="A18" s="19" t="s">
        <v>877</v>
      </c>
      <c r="B18" s="19" t="s">
        <v>878</v>
      </c>
      <c r="C18" s="20" t="s">
        <v>887</v>
      </c>
      <c r="D18" s="21" t="s">
        <v>888</v>
      </c>
      <c r="E18" s="23">
        <v>3</v>
      </c>
      <c r="F18" s="18" t="s">
        <v>195</v>
      </c>
      <c r="G18" s="21"/>
      <c r="H18" s="21"/>
    </row>
    <row r="19" spans="1:8" ht="18" customHeight="1" x14ac:dyDescent="0.2">
      <c r="A19" s="13" t="s">
        <v>889</v>
      </c>
      <c r="B19" s="13" t="s">
        <v>890</v>
      </c>
      <c r="C19" s="13"/>
      <c r="D19" s="13"/>
      <c r="E19" s="13"/>
      <c r="F19" s="13"/>
      <c r="G19" s="13"/>
      <c r="H19" s="13"/>
    </row>
    <row r="20" spans="1:8" ht="30" customHeight="1" x14ac:dyDescent="0.2">
      <c r="A20" s="14" t="s">
        <v>889</v>
      </c>
      <c r="B20" s="14" t="s">
        <v>890</v>
      </c>
      <c r="C20" s="15" t="s">
        <v>891</v>
      </c>
      <c r="D20" s="16" t="s">
        <v>892</v>
      </c>
      <c r="E20" s="22">
        <v>1</v>
      </c>
      <c r="F20" s="18" t="s">
        <v>195</v>
      </c>
      <c r="G20" s="16"/>
      <c r="H20" s="16"/>
    </row>
    <row r="21" spans="1:8" ht="30" customHeight="1" x14ac:dyDescent="0.2">
      <c r="A21" s="19" t="s">
        <v>889</v>
      </c>
      <c r="B21" s="19" t="s">
        <v>890</v>
      </c>
      <c r="C21" s="20" t="s">
        <v>893</v>
      </c>
      <c r="D21" s="21" t="s">
        <v>894</v>
      </c>
      <c r="E21" s="17">
        <v>2</v>
      </c>
      <c r="F21" s="18" t="s">
        <v>56</v>
      </c>
      <c r="G21" s="21" t="s">
        <v>895</v>
      </c>
      <c r="H21" s="21" t="s">
        <v>882</v>
      </c>
    </row>
    <row r="22" spans="1:8" ht="30" customHeight="1" x14ac:dyDescent="0.2">
      <c r="A22" s="14" t="s">
        <v>889</v>
      </c>
      <c r="B22" s="14" t="s">
        <v>890</v>
      </c>
      <c r="C22" s="15" t="s">
        <v>896</v>
      </c>
      <c r="D22" s="16" t="s">
        <v>897</v>
      </c>
      <c r="E22" s="17">
        <v>2</v>
      </c>
      <c r="F22" s="18" t="s">
        <v>195</v>
      </c>
      <c r="G22" s="16"/>
      <c r="H22" s="16"/>
    </row>
    <row r="23" spans="1:8" ht="30" customHeight="1" x14ac:dyDescent="0.2">
      <c r="A23" s="19" t="s">
        <v>889</v>
      </c>
      <c r="B23" s="19" t="s">
        <v>890</v>
      </c>
      <c r="C23" s="20" t="s">
        <v>898</v>
      </c>
      <c r="D23" s="21" t="s">
        <v>899</v>
      </c>
      <c r="E23" s="17">
        <v>2</v>
      </c>
      <c r="F23" s="18" t="s">
        <v>195</v>
      </c>
      <c r="G23" s="21"/>
      <c r="H23" s="21"/>
    </row>
    <row r="24" spans="1:8" ht="30" customHeight="1" x14ac:dyDescent="0.2">
      <c r="A24" s="14" t="s">
        <v>889</v>
      </c>
      <c r="B24" s="14" t="s">
        <v>890</v>
      </c>
      <c r="C24" s="15" t="s">
        <v>900</v>
      </c>
      <c r="D24" s="16" t="s">
        <v>901</v>
      </c>
      <c r="E24" s="17">
        <v>2</v>
      </c>
      <c r="F24" s="18" t="s">
        <v>56</v>
      </c>
      <c r="G24" s="16" t="s">
        <v>902</v>
      </c>
      <c r="H24" s="16" t="s">
        <v>882</v>
      </c>
    </row>
    <row r="25" spans="1:8" ht="30" customHeight="1" x14ac:dyDescent="0.2">
      <c r="A25" s="19" t="s">
        <v>889</v>
      </c>
      <c r="B25" s="19" t="s">
        <v>890</v>
      </c>
      <c r="C25" s="20" t="s">
        <v>903</v>
      </c>
      <c r="D25" s="21" t="s">
        <v>904</v>
      </c>
      <c r="E25" s="23">
        <v>3</v>
      </c>
      <c r="F25" s="18" t="s">
        <v>195</v>
      </c>
      <c r="G25" s="21"/>
      <c r="H25" s="21"/>
    </row>
    <row r="26" spans="1:8" ht="30" customHeight="1" x14ac:dyDescent="0.2">
      <c r="A26" s="14" t="s">
        <v>889</v>
      </c>
      <c r="B26" s="14" t="s">
        <v>890</v>
      </c>
      <c r="C26" s="15" t="s">
        <v>905</v>
      </c>
      <c r="D26" s="16" t="s">
        <v>906</v>
      </c>
      <c r="E26" s="23">
        <v>3</v>
      </c>
      <c r="F26" s="18" t="s">
        <v>195</v>
      </c>
      <c r="G26" s="16"/>
      <c r="H26" s="16"/>
    </row>
  </sheetData>
  <conditionalFormatting sqref="F2:F26">
    <cfRule type="cellIs" priority="1" operator="equal">
      <formula>"Compliant"</formula>
    </cfRule>
    <cfRule type="cellIs" priority="2" operator="equal">
      <formula>"In Progress"</formula>
    </cfRule>
    <cfRule type="cellIs" priority="3" operator="equal">
      <formula>"Not Applicable"</formula>
    </cfRule>
  </conditionalFormatting>
  <dataValidations disablePrompts="1"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topLeftCell="C1" zoomScale="125" zoomScaleNormal="75" workbookViewId="0">
      <pane ySplit="1" topLeftCell="A2" activePane="bottomLeft" state="frozen"/>
      <selection pane="bottomLeft" activeCell="D16" sqref="D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907</v>
      </c>
      <c r="B2" s="13" t="s">
        <v>908</v>
      </c>
      <c r="C2" s="13"/>
      <c r="D2" s="13"/>
      <c r="E2" s="13"/>
      <c r="F2" s="13"/>
      <c r="G2" s="13"/>
      <c r="H2" s="13"/>
    </row>
    <row r="3" spans="1:8" ht="30" customHeight="1" x14ac:dyDescent="0.2">
      <c r="A3" s="14" t="s">
        <v>907</v>
      </c>
      <c r="B3" s="14" t="s">
        <v>908</v>
      </c>
      <c r="C3" s="15" t="s">
        <v>909</v>
      </c>
      <c r="D3" s="16" t="s">
        <v>910</v>
      </c>
      <c r="E3" s="17">
        <v>2</v>
      </c>
      <c r="F3" s="18" t="s">
        <v>56</v>
      </c>
      <c r="G3" s="16" t="s">
        <v>911</v>
      </c>
      <c r="H3" s="16" t="s">
        <v>912</v>
      </c>
    </row>
    <row r="4" spans="1:8" ht="30" customHeight="1" x14ac:dyDescent="0.2">
      <c r="A4" s="19" t="s">
        <v>907</v>
      </c>
      <c r="B4" s="19" t="s">
        <v>908</v>
      </c>
      <c r="C4" s="20" t="s">
        <v>913</v>
      </c>
      <c r="D4" s="21" t="s">
        <v>914</v>
      </c>
      <c r="E4" s="17">
        <v>2</v>
      </c>
      <c r="F4" s="18" t="s">
        <v>195</v>
      </c>
      <c r="G4" s="21"/>
      <c r="H4" s="21"/>
    </row>
    <row r="5" spans="1:8" ht="18" customHeight="1" x14ac:dyDescent="0.2">
      <c r="A5" s="13" t="s">
        <v>915</v>
      </c>
      <c r="B5" s="13" t="s">
        <v>916</v>
      </c>
      <c r="C5" s="13"/>
      <c r="D5" s="13"/>
      <c r="E5" s="13"/>
      <c r="F5" s="13"/>
      <c r="G5" s="13"/>
      <c r="H5" s="13"/>
    </row>
    <row r="6" spans="1:8" ht="30" customHeight="1" x14ac:dyDescent="0.2">
      <c r="A6" s="14" t="s">
        <v>915</v>
      </c>
      <c r="B6" s="14" t="s">
        <v>916</v>
      </c>
      <c r="C6" s="15" t="s">
        <v>917</v>
      </c>
      <c r="D6" s="16" t="s">
        <v>918</v>
      </c>
      <c r="E6" s="22">
        <v>1</v>
      </c>
      <c r="F6" s="18" t="s">
        <v>195</v>
      </c>
      <c r="G6" s="16"/>
      <c r="H6" s="16"/>
    </row>
    <row r="7" spans="1:8" ht="30" customHeight="1" x14ac:dyDescent="0.2">
      <c r="A7" s="19" t="s">
        <v>915</v>
      </c>
      <c r="B7" s="19" t="s">
        <v>916</v>
      </c>
      <c r="C7" s="20" t="s">
        <v>919</v>
      </c>
      <c r="D7" s="21" t="s">
        <v>920</v>
      </c>
      <c r="E7" s="17">
        <v>2</v>
      </c>
      <c r="F7" s="18" t="s">
        <v>195</v>
      </c>
      <c r="G7" s="21"/>
      <c r="H7" s="21"/>
    </row>
    <row r="8" spans="1:8" ht="30" customHeight="1" x14ac:dyDescent="0.2">
      <c r="A8" s="14" t="s">
        <v>915</v>
      </c>
      <c r="B8" s="14" t="s">
        <v>916</v>
      </c>
      <c r="C8" s="15" t="s">
        <v>921</v>
      </c>
      <c r="D8" s="16" t="s">
        <v>922</v>
      </c>
      <c r="E8" s="17">
        <v>2</v>
      </c>
      <c r="F8" s="18" t="s">
        <v>195</v>
      </c>
      <c r="G8" s="16"/>
      <c r="H8" s="16"/>
    </row>
    <row r="9" spans="1:8" ht="30" customHeight="1" x14ac:dyDescent="0.2">
      <c r="A9" s="19" t="s">
        <v>915</v>
      </c>
      <c r="B9" s="19" t="s">
        <v>916</v>
      </c>
      <c r="C9" s="20" t="s">
        <v>923</v>
      </c>
      <c r="D9" s="21" t="s">
        <v>924</v>
      </c>
      <c r="E9" s="17">
        <v>2</v>
      </c>
      <c r="F9" s="18" t="s">
        <v>56</v>
      </c>
      <c r="G9" s="21" t="s">
        <v>925</v>
      </c>
      <c r="H9" s="21" t="s">
        <v>926</v>
      </c>
    </row>
    <row r="10" spans="1:8" ht="30" customHeight="1" x14ac:dyDescent="0.2">
      <c r="A10" s="14" t="s">
        <v>915</v>
      </c>
      <c r="B10" s="14" t="s">
        <v>916</v>
      </c>
      <c r="C10" s="15" t="s">
        <v>927</v>
      </c>
      <c r="D10" s="16" t="s">
        <v>928</v>
      </c>
      <c r="E10" s="23">
        <v>3</v>
      </c>
      <c r="F10" s="18" t="s">
        <v>195</v>
      </c>
      <c r="G10" s="16"/>
      <c r="H10" s="16"/>
    </row>
    <row r="11" spans="1:8" ht="30" customHeight="1" x14ac:dyDescent="0.2">
      <c r="A11" s="19" t="s">
        <v>915</v>
      </c>
      <c r="B11" s="19" t="s">
        <v>916</v>
      </c>
      <c r="C11" s="20" t="s">
        <v>929</v>
      </c>
      <c r="D11" s="21" t="s">
        <v>930</v>
      </c>
      <c r="E11" s="23">
        <v>3</v>
      </c>
      <c r="F11" s="18" t="s">
        <v>56</v>
      </c>
      <c r="G11" s="21" t="s">
        <v>931</v>
      </c>
      <c r="H11" s="21" t="s">
        <v>932</v>
      </c>
    </row>
    <row r="12" spans="1:8" ht="30" customHeight="1" x14ac:dyDescent="0.2">
      <c r="A12" s="14" t="s">
        <v>915</v>
      </c>
      <c r="B12" s="14" t="s">
        <v>916</v>
      </c>
      <c r="C12" s="15" t="s">
        <v>933</v>
      </c>
      <c r="D12" s="16" t="s">
        <v>934</v>
      </c>
      <c r="E12" s="23">
        <v>3</v>
      </c>
      <c r="F12" s="18" t="s">
        <v>195</v>
      </c>
      <c r="G12" s="16"/>
      <c r="H12" s="16"/>
    </row>
    <row r="13" spans="1:8" ht="30" customHeight="1" x14ac:dyDescent="0.2">
      <c r="A13" s="19" t="s">
        <v>915</v>
      </c>
      <c r="B13" s="19" t="s">
        <v>916</v>
      </c>
      <c r="C13" s="20" t="s">
        <v>935</v>
      </c>
      <c r="D13" s="21" t="s">
        <v>936</v>
      </c>
      <c r="E13" s="23">
        <v>3</v>
      </c>
      <c r="F13" s="18" t="s">
        <v>76</v>
      </c>
      <c r="G13" s="21" t="s">
        <v>937</v>
      </c>
      <c r="H13" s="21"/>
    </row>
    <row r="14" spans="1:8" ht="18" customHeight="1" x14ac:dyDescent="0.2">
      <c r="A14" s="13" t="s">
        <v>938</v>
      </c>
      <c r="B14" s="13" t="s">
        <v>939</v>
      </c>
      <c r="C14" s="13"/>
      <c r="D14" s="13"/>
      <c r="E14" s="13"/>
      <c r="F14" s="13"/>
      <c r="G14" s="13"/>
      <c r="H14" s="13"/>
    </row>
    <row r="15" spans="1:8" ht="30" customHeight="1" x14ac:dyDescent="0.2">
      <c r="A15" s="14" t="s">
        <v>938</v>
      </c>
      <c r="B15" s="14" t="s">
        <v>939</v>
      </c>
      <c r="C15" s="15" t="s">
        <v>940</v>
      </c>
      <c r="D15" s="16" t="s">
        <v>941</v>
      </c>
      <c r="E15" s="22">
        <v>1</v>
      </c>
      <c r="F15" s="18" t="s">
        <v>56</v>
      </c>
      <c r="G15" s="16" t="s">
        <v>942</v>
      </c>
      <c r="H15" s="16" t="s">
        <v>534</v>
      </c>
    </row>
    <row r="16" spans="1:8" ht="30" customHeight="1" x14ac:dyDescent="0.2">
      <c r="A16" s="19" t="s">
        <v>938</v>
      </c>
      <c r="B16" s="19" t="s">
        <v>939</v>
      </c>
      <c r="C16" s="20" t="s">
        <v>943</v>
      </c>
      <c r="D16" s="21" t="s">
        <v>944</v>
      </c>
      <c r="E16" s="17">
        <v>2</v>
      </c>
      <c r="F16" s="18" t="s">
        <v>195</v>
      </c>
      <c r="G16" s="21"/>
      <c r="H16" s="21"/>
    </row>
    <row r="17" spans="1:8" ht="30" customHeight="1" x14ac:dyDescent="0.2">
      <c r="A17" s="14" t="s">
        <v>938</v>
      </c>
      <c r="B17" s="14" t="s">
        <v>939</v>
      </c>
      <c r="C17" s="15" t="s">
        <v>945</v>
      </c>
      <c r="D17" s="16" t="s">
        <v>946</v>
      </c>
      <c r="E17" s="17">
        <v>2</v>
      </c>
      <c r="F17" s="18" t="s">
        <v>45</v>
      </c>
      <c r="G17" s="16" t="s">
        <v>947</v>
      </c>
      <c r="H17" s="16" t="s">
        <v>534</v>
      </c>
    </row>
  </sheetData>
  <conditionalFormatting sqref="F2:F17">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tabSelected="1" zoomScale="125" zoomScaleNormal="75" workbookViewId="0">
      <pane ySplit="1" topLeftCell="A15" activePane="bottomLeft" state="frozen"/>
      <selection pane="bottomLeft" activeCell="B28" sqref="B2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948</v>
      </c>
      <c r="B2" s="13" t="s">
        <v>949</v>
      </c>
      <c r="C2" s="13"/>
      <c r="D2" s="13"/>
      <c r="E2" s="13"/>
      <c r="F2" s="13"/>
      <c r="G2" s="13"/>
      <c r="H2" s="13"/>
    </row>
    <row r="3" spans="1:8" ht="30" customHeight="1" x14ac:dyDescent="0.2">
      <c r="A3" s="14" t="s">
        <v>948</v>
      </c>
      <c r="B3" s="14" t="s">
        <v>949</v>
      </c>
      <c r="C3" s="15" t="s">
        <v>950</v>
      </c>
      <c r="D3" s="16" t="s">
        <v>951</v>
      </c>
      <c r="E3" s="22">
        <v>1</v>
      </c>
      <c r="F3" s="18" t="s">
        <v>195</v>
      </c>
      <c r="G3" s="16"/>
      <c r="H3" s="16"/>
    </row>
    <row r="4" spans="1:8" ht="30" customHeight="1" x14ac:dyDescent="0.2">
      <c r="A4" s="19" t="s">
        <v>948</v>
      </c>
      <c r="B4" s="19" t="s">
        <v>949</v>
      </c>
      <c r="C4" s="20" t="s">
        <v>952</v>
      </c>
      <c r="D4" s="21" t="s">
        <v>953</v>
      </c>
      <c r="E4" s="17">
        <v>2</v>
      </c>
      <c r="F4" s="18" t="s">
        <v>56</v>
      </c>
      <c r="G4" s="21" t="s">
        <v>954</v>
      </c>
      <c r="H4" s="21"/>
    </row>
    <row r="5" spans="1:8" ht="30" customHeight="1" x14ac:dyDescent="0.2">
      <c r="A5" s="14" t="s">
        <v>948</v>
      </c>
      <c r="B5" s="14" t="s">
        <v>949</v>
      </c>
      <c r="C5" s="15" t="s">
        <v>955</v>
      </c>
      <c r="D5" s="16" t="s">
        <v>956</v>
      </c>
      <c r="E5" s="17">
        <v>2</v>
      </c>
      <c r="F5" s="18" t="s">
        <v>195</v>
      </c>
      <c r="G5" s="16"/>
      <c r="H5" s="16"/>
    </row>
    <row r="6" spans="1:8" ht="30" customHeight="1" x14ac:dyDescent="0.2">
      <c r="A6" s="19" t="s">
        <v>948</v>
      </c>
      <c r="B6" s="19" t="s">
        <v>949</v>
      </c>
      <c r="C6" s="20" t="s">
        <v>957</v>
      </c>
      <c r="D6" s="21" t="s">
        <v>958</v>
      </c>
      <c r="E6" s="23">
        <v>3</v>
      </c>
      <c r="F6" s="18" t="s">
        <v>195</v>
      </c>
      <c r="G6" s="21"/>
      <c r="H6" s="21"/>
    </row>
    <row r="7" spans="1:8" ht="30" customHeight="1" x14ac:dyDescent="0.2">
      <c r="A7" s="14" t="s">
        <v>948</v>
      </c>
      <c r="B7" s="14" t="s">
        <v>949</v>
      </c>
      <c r="C7" s="15" t="s">
        <v>959</v>
      </c>
      <c r="D7" s="16" t="s">
        <v>960</v>
      </c>
      <c r="E7" s="23">
        <v>3</v>
      </c>
      <c r="F7" s="18" t="s">
        <v>195</v>
      </c>
      <c r="G7" s="16"/>
      <c r="H7" s="16"/>
    </row>
    <row r="8" spans="1:8" ht="18" customHeight="1" x14ac:dyDescent="0.2">
      <c r="A8" s="13" t="s">
        <v>961</v>
      </c>
      <c r="B8" s="13" t="s">
        <v>962</v>
      </c>
      <c r="C8" s="13"/>
      <c r="D8" s="13"/>
      <c r="E8" s="13"/>
      <c r="F8" s="13"/>
      <c r="G8" s="13"/>
      <c r="H8" s="13"/>
    </row>
    <row r="9" spans="1:8" ht="30" customHeight="1" x14ac:dyDescent="0.2">
      <c r="A9" s="14" t="s">
        <v>961</v>
      </c>
      <c r="B9" s="14" t="s">
        <v>962</v>
      </c>
      <c r="C9" s="15" t="s">
        <v>963</v>
      </c>
      <c r="D9" s="16" t="s">
        <v>964</v>
      </c>
      <c r="E9" s="22">
        <v>1</v>
      </c>
      <c r="F9" s="18" t="s">
        <v>45</v>
      </c>
      <c r="G9" s="16" t="s">
        <v>965</v>
      </c>
      <c r="H9" s="16" t="s">
        <v>966</v>
      </c>
    </row>
    <row r="10" spans="1:8" ht="30" customHeight="1" x14ac:dyDescent="0.2">
      <c r="A10" s="19" t="s">
        <v>961</v>
      </c>
      <c r="B10" s="19" t="s">
        <v>962</v>
      </c>
      <c r="C10" s="20" t="s">
        <v>967</v>
      </c>
      <c r="D10" s="21" t="s">
        <v>968</v>
      </c>
      <c r="E10" s="17">
        <v>2</v>
      </c>
      <c r="F10" s="18" t="s">
        <v>45</v>
      </c>
      <c r="G10" s="16" t="s">
        <v>969</v>
      </c>
      <c r="H10" s="16" t="s">
        <v>970</v>
      </c>
    </row>
    <row r="11" spans="1:8" ht="30" customHeight="1" x14ac:dyDescent="0.2">
      <c r="A11" s="14" t="s">
        <v>961</v>
      </c>
      <c r="B11" s="14" t="s">
        <v>962</v>
      </c>
      <c r="C11" s="15" t="s">
        <v>971</v>
      </c>
      <c r="D11" s="16" t="s">
        <v>972</v>
      </c>
      <c r="E11" s="17">
        <v>2</v>
      </c>
      <c r="F11" s="18" t="s">
        <v>45</v>
      </c>
      <c r="G11" s="16" t="s">
        <v>973</v>
      </c>
      <c r="H11" s="16" t="s">
        <v>974</v>
      </c>
    </row>
    <row r="12" spans="1:8" ht="30" customHeight="1" x14ac:dyDescent="0.2">
      <c r="A12" s="19" t="s">
        <v>961</v>
      </c>
      <c r="B12" s="19" t="s">
        <v>962</v>
      </c>
      <c r="C12" s="20" t="s">
        <v>975</v>
      </c>
      <c r="D12" s="21" t="s">
        <v>976</v>
      </c>
      <c r="E12" s="23">
        <v>3</v>
      </c>
      <c r="F12" s="18" t="s">
        <v>45</v>
      </c>
      <c r="G12" s="16" t="s">
        <v>977</v>
      </c>
      <c r="H12" s="16" t="s">
        <v>978</v>
      </c>
    </row>
    <row r="13" spans="1:8" ht="30" customHeight="1" x14ac:dyDescent="0.2">
      <c r="A13" s="14" t="s">
        <v>961</v>
      </c>
      <c r="B13" s="14" t="s">
        <v>962</v>
      </c>
      <c r="C13" s="15" t="s">
        <v>979</v>
      </c>
      <c r="D13" s="16" t="s">
        <v>980</v>
      </c>
      <c r="E13" s="23">
        <v>3</v>
      </c>
      <c r="F13" s="18" t="s">
        <v>45</v>
      </c>
      <c r="G13" s="16" t="s">
        <v>981</v>
      </c>
      <c r="H13" s="16" t="s">
        <v>982</v>
      </c>
    </row>
    <row r="14" spans="1:8" ht="18" customHeight="1" x14ac:dyDescent="0.2">
      <c r="A14" s="13" t="s">
        <v>983</v>
      </c>
      <c r="B14" s="13" t="s">
        <v>984</v>
      </c>
      <c r="C14" s="13"/>
      <c r="D14" s="13"/>
      <c r="E14" s="13"/>
      <c r="F14" s="13"/>
      <c r="G14" s="13"/>
      <c r="H14" s="13"/>
    </row>
    <row r="15" spans="1:8" ht="30" customHeight="1" x14ac:dyDescent="0.2">
      <c r="A15" s="14" t="s">
        <v>983</v>
      </c>
      <c r="B15" s="14" t="s">
        <v>984</v>
      </c>
      <c r="C15" s="15" t="s">
        <v>985</v>
      </c>
      <c r="D15" s="16" t="s">
        <v>986</v>
      </c>
      <c r="E15" s="22">
        <v>1</v>
      </c>
      <c r="F15" s="18" t="s">
        <v>56</v>
      </c>
      <c r="G15" s="16" t="s">
        <v>987</v>
      </c>
      <c r="H15" s="16" t="s">
        <v>932</v>
      </c>
    </row>
    <row r="16" spans="1:8" ht="30" customHeight="1" x14ac:dyDescent="0.2">
      <c r="A16" s="19" t="s">
        <v>983</v>
      </c>
      <c r="B16" s="19" t="s">
        <v>984</v>
      </c>
      <c r="C16" s="20" t="s">
        <v>988</v>
      </c>
      <c r="D16" s="21" t="s">
        <v>989</v>
      </c>
      <c r="E16" s="17">
        <v>2</v>
      </c>
      <c r="F16" s="18" t="s">
        <v>195</v>
      </c>
      <c r="G16" s="21"/>
      <c r="H16" s="21"/>
    </row>
    <row r="17" spans="1:8" ht="30" customHeight="1" x14ac:dyDescent="0.2">
      <c r="A17" s="14" t="s">
        <v>983</v>
      </c>
      <c r="B17" s="14" t="s">
        <v>984</v>
      </c>
      <c r="C17" s="15" t="s">
        <v>990</v>
      </c>
      <c r="D17" s="16" t="s">
        <v>991</v>
      </c>
      <c r="E17" s="17">
        <v>2</v>
      </c>
      <c r="F17" s="18" t="s">
        <v>56</v>
      </c>
      <c r="G17" s="16" t="s">
        <v>992</v>
      </c>
      <c r="H17" s="16" t="s">
        <v>65</v>
      </c>
    </row>
    <row r="18" spans="1:8" ht="30" customHeight="1" x14ac:dyDescent="0.2">
      <c r="A18" s="19" t="s">
        <v>983</v>
      </c>
      <c r="B18" s="19" t="s">
        <v>984</v>
      </c>
      <c r="C18" s="20" t="s">
        <v>993</v>
      </c>
      <c r="D18" s="21" t="s">
        <v>994</v>
      </c>
      <c r="E18" s="17">
        <v>2</v>
      </c>
      <c r="F18" s="18" t="s">
        <v>195</v>
      </c>
      <c r="G18" s="21"/>
      <c r="H18" s="21"/>
    </row>
    <row r="19" spans="1:8" ht="30" customHeight="1" x14ac:dyDescent="0.2">
      <c r="A19" s="14" t="s">
        <v>983</v>
      </c>
      <c r="B19" s="14" t="s">
        <v>984</v>
      </c>
      <c r="C19" s="15" t="s">
        <v>995</v>
      </c>
      <c r="D19" s="16" t="s">
        <v>996</v>
      </c>
      <c r="E19" s="17">
        <v>2</v>
      </c>
      <c r="F19" s="18" t="s">
        <v>195</v>
      </c>
      <c r="G19" s="16"/>
      <c r="H19" s="16"/>
    </row>
    <row r="20" spans="1:8" ht="30" customHeight="1" x14ac:dyDescent="0.2">
      <c r="A20" s="19" t="s">
        <v>983</v>
      </c>
      <c r="B20" s="19" t="s">
        <v>984</v>
      </c>
      <c r="C20" s="20" t="s">
        <v>997</v>
      </c>
      <c r="D20" s="21" t="s">
        <v>998</v>
      </c>
      <c r="E20" s="17">
        <v>2</v>
      </c>
      <c r="F20" s="18" t="s">
        <v>76</v>
      </c>
      <c r="G20" s="21" t="s">
        <v>999</v>
      </c>
      <c r="H20" s="21"/>
    </row>
    <row r="21" spans="1:8" ht="30" customHeight="1" x14ac:dyDescent="0.2">
      <c r="A21" s="14" t="s">
        <v>983</v>
      </c>
      <c r="B21" s="14" t="s">
        <v>984</v>
      </c>
      <c r="C21" s="15" t="s">
        <v>1000</v>
      </c>
      <c r="D21" s="16" t="s">
        <v>1001</v>
      </c>
      <c r="E21" s="17">
        <v>2</v>
      </c>
      <c r="F21" s="18" t="s">
        <v>76</v>
      </c>
      <c r="G21" s="16"/>
      <c r="H21" s="16"/>
    </row>
    <row r="22" spans="1:8" ht="18" customHeight="1" x14ac:dyDescent="0.2">
      <c r="A22" s="13" t="s">
        <v>1002</v>
      </c>
      <c r="B22" s="13" t="s">
        <v>1003</v>
      </c>
      <c r="C22" s="13"/>
      <c r="D22" s="13"/>
      <c r="E22" s="13"/>
      <c r="F22" s="13"/>
      <c r="G22" s="13"/>
      <c r="H22" s="13"/>
    </row>
    <row r="23" spans="1:8" ht="30" customHeight="1" x14ac:dyDescent="0.2">
      <c r="A23" s="14" t="s">
        <v>1002</v>
      </c>
      <c r="B23" s="14" t="s">
        <v>1003</v>
      </c>
      <c r="C23" s="15" t="s">
        <v>1004</v>
      </c>
      <c r="D23" s="16" t="s">
        <v>1005</v>
      </c>
      <c r="E23" s="23">
        <v>3</v>
      </c>
      <c r="F23" s="18" t="s">
        <v>56</v>
      </c>
      <c r="G23" s="16" t="s">
        <v>1006</v>
      </c>
      <c r="H23" s="16" t="s">
        <v>111</v>
      </c>
    </row>
    <row r="24" spans="1:8" ht="30" customHeight="1" x14ac:dyDescent="0.2">
      <c r="A24" s="19" t="s">
        <v>1002</v>
      </c>
      <c r="B24" s="19" t="s">
        <v>1003</v>
      </c>
      <c r="C24" s="20" t="s">
        <v>1007</v>
      </c>
      <c r="D24" s="21" t="s">
        <v>1008</v>
      </c>
      <c r="E24" s="23">
        <v>3</v>
      </c>
      <c r="F24" s="18" t="s">
        <v>76</v>
      </c>
      <c r="G24" s="21"/>
      <c r="H24" s="21"/>
    </row>
    <row r="25" spans="1:8" ht="30" customHeight="1" x14ac:dyDescent="0.2">
      <c r="A25" s="14" t="s">
        <v>1002</v>
      </c>
      <c r="B25" s="14" t="s">
        <v>1003</v>
      </c>
      <c r="C25" s="15" t="s">
        <v>1009</v>
      </c>
      <c r="D25" s="16" t="s">
        <v>1010</v>
      </c>
      <c r="E25" s="23">
        <v>3</v>
      </c>
      <c r="F25" s="18" t="s">
        <v>76</v>
      </c>
      <c r="G25" s="16"/>
      <c r="H25" s="16"/>
    </row>
    <row r="26" spans="1:8" ht="30" customHeight="1" x14ac:dyDescent="0.2">
      <c r="A26" s="19" t="s">
        <v>1002</v>
      </c>
      <c r="B26" s="19" t="s">
        <v>1003</v>
      </c>
      <c r="C26" s="20" t="s">
        <v>1011</v>
      </c>
      <c r="D26" s="21" t="s">
        <v>1012</v>
      </c>
      <c r="E26" s="23">
        <v>3</v>
      </c>
      <c r="F26" s="18" t="s">
        <v>76</v>
      </c>
      <c r="G26" s="21"/>
      <c r="H26" s="21"/>
    </row>
  </sheetData>
  <conditionalFormatting sqref="F2:F26">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topLeftCell="B1" zoomScale="125" zoomScaleNormal="75" workbookViewId="0">
      <pane ySplit="1" topLeftCell="A2" activePane="bottomLeft" state="frozen"/>
      <selection pane="bottomLeft" activeCell="G13" sqref="G1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1013</v>
      </c>
      <c r="B2" s="13" t="s">
        <v>1014</v>
      </c>
      <c r="C2" s="13"/>
      <c r="D2" s="13"/>
      <c r="E2" s="13"/>
      <c r="F2" s="13"/>
      <c r="G2" s="13"/>
      <c r="H2" s="13"/>
    </row>
    <row r="3" spans="1:8" ht="30" customHeight="1" x14ac:dyDescent="0.2">
      <c r="A3" s="14" t="s">
        <v>1013</v>
      </c>
      <c r="B3" s="14" t="s">
        <v>1014</v>
      </c>
      <c r="C3" s="15" t="s">
        <v>1015</v>
      </c>
      <c r="D3" s="16" t="s">
        <v>1016</v>
      </c>
      <c r="E3" s="17">
        <v>2</v>
      </c>
      <c r="F3" s="18" t="s">
        <v>56</v>
      </c>
      <c r="G3" s="16" t="s">
        <v>1017</v>
      </c>
      <c r="H3" s="16" t="s">
        <v>1018</v>
      </c>
    </row>
    <row r="4" spans="1:8" ht="18" customHeight="1" x14ac:dyDescent="0.2">
      <c r="A4" s="13" t="s">
        <v>1019</v>
      </c>
      <c r="B4" s="13" t="s">
        <v>1020</v>
      </c>
      <c r="C4" s="13"/>
      <c r="D4" s="13"/>
      <c r="E4" s="13"/>
      <c r="F4" s="13"/>
      <c r="G4" s="13"/>
      <c r="H4" s="13"/>
    </row>
    <row r="5" spans="1:8" ht="30" customHeight="1" x14ac:dyDescent="0.2">
      <c r="A5" s="14" t="s">
        <v>1019</v>
      </c>
      <c r="B5" s="14" t="s">
        <v>1020</v>
      </c>
      <c r="C5" s="15" t="s">
        <v>1021</v>
      </c>
      <c r="D5" s="16" t="s">
        <v>1022</v>
      </c>
      <c r="E5" s="17">
        <v>2</v>
      </c>
      <c r="F5" s="18" t="s">
        <v>45</v>
      </c>
      <c r="G5" s="16" t="s">
        <v>1023</v>
      </c>
      <c r="H5" s="16" t="s">
        <v>926</v>
      </c>
    </row>
    <row r="6" spans="1:8" ht="30" customHeight="1" x14ac:dyDescent="0.2">
      <c r="A6" s="19" t="s">
        <v>1019</v>
      </c>
      <c r="B6" s="19" t="s">
        <v>1020</v>
      </c>
      <c r="C6" s="20" t="s">
        <v>1024</v>
      </c>
      <c r="D6" s="21" t="s">
        <v>1025</v>
      </c>
      <c r="E6" s="17">
        <v>2</v>
      </c>
      <c r="F6" s="18" t="s">
        <v>45</v>
      </c>
      <c r="G6" s="21" t="s">
        <v>1026</v>
      </c>
      <c r="H6" s="21" t="s">
        <v>926</v>
      </c>
    </row>
    <row r="7" spans="1:8" ht="30" customHeight="1" x14ac:dyDescent="0.2">
      <c r="A7" s="14" t="s">
        <v>1019</v>
      </c>
      <c r="B7" s="14" t="s">
        <v>1020</v>
      </c>
      <c r="C7" s="15" t="s">
        <v>1027</v>
      </c>
      <c r="D7" s="16" t="s">
        <v>1028</v>
      </c>
      <c r="E7" s="17">
        <v>2</v>
      </c>
      <c r="F7" s="18" t="s">
        <v>56</v>
      </c>
      <c r="G7" s="16" t="s">
        <v>1029</v>
      </c>
      <c r="H7" s="16" t="s">
        <v>1018</v>
      </c>
    </row>
    <row r="8" spans="1:8" ht="30" customHeight="1" x14ac:dyDescent="0.2">
      <c r="A8" s="19" t="s">
        <v>1019</v>
      </c>
      <c r="B8" s="19" t="s">
        <v>1020</v>
      </c>
      <c r="C8" s="20" t="s">
        <v>1030</v>
      </c>
      <c r="D8" s="21" t="s">
        <v>1031</v>
      </c>
      <c r="E8" s="17">
        <v>2</v>
      </c>
      <c r="F8" s="18" t="s">
        <v>45</v>
      </c>
      <c r="G8" s="21" t="s">
        <v>1032</v>
      </c>
      <c r="H8" s="21" t="s">
        <v>1018</v>
      </c>
    </row>
    <row r="9" spans="1:8" ht="30" customHeight="1" x14ac:dyDescent="0.2">
      <c r="A9" s="14" t="s">
        <v>1019</v>
      </c>
      <c r="B9" s="14" t="s">
        <v>1020</v>
      </c>
      <c r="C9" s="15" t="s">
        <v>1033</v>
      </c>
      <c r="D9" s="16" t="s">
        <v>1034</v>
      </c>
      <c r="E9" s="17">
        <v>2</v>
      </c>
      <c r="F9" s="18" t="s">
        <v>45</v>
      </c>
      <c r="G9" s="16" t="s">
        <v>1035</v>
      </c>
      <c r="H9" s="16" t="s">
        <v>1036</v>
      </c>
    </row>
    <row r="10" spans="1:8" ht="18" customHeight="1" x14ac:dyDescent="0.2">
      <c r="A10" s="13" t="s">
        <v>1037</v>
      </c>
      <c r="B10" s="13" t="s">
        <v>1038</v>
      </c>
      <c r="C10" s="13"/>
      <c r="D10" s="13"/>
      <c r="E10" s="13"/>
      <c r="F10" s="13"/>
      <c r="G10" s="13"/>
      <c r="H10" s="13"/>
    </row>
    <row r="11" spans="1:8" ht="30" customHeight="1" x14ac:dyDescent="0.2">
      <c r="A11" s="14" t="s">
        <v>1037</v>
      </c>
      <c r="B11" s="14" t="s">
        <v>1038</v>
      </c>
      <c r="C11" s="15" t="s">
        <v>1039</v>
      </c>
      <c r="D11" s="16" t="s">
        <v>1040</v>
      </c>
      <c r="E11" s="17">
        <v>2</v>
      </c>
      <c r="F11" s="18" t="s">
        <v>45</v>
      </c>
      <c r="G11" s="16" t="s">
        <v>1041</v>
      </c>
      <c r="H11" s="16" t="s">
        <v>926</v>
      </c>
    </row>
    <row r="12" spans="1:8" ht="30" customHeight="1" x14ac:dyDescent="0.2">
      <c r="A12" s="19" t="s">
        <v>1037</v>
      </c>
      <c r="B12" s="19" t="s">
        <v>1038</v>
      </c>
      <c r="C12" s="20" t="s">
        <v>1042</v>
      </c>
      <c r="D12" s="21" t="s">
        <v>1043</v>
      </c>
      <c r="E12" s="17">
        <v>2</v>
      </c>
      <c r="F12" s="18" t="s">
        <v>45</v>
      </c>
      <c r="G12" s="21" t="s">
        <v>1044</v>
      </c>
      <c r="H12" s="21" t="s">
        <v>1036</v>
      </c>
    </row>
    <row r="13" spans="1:8" ht="30" customHeight="1" x14ac:dyDescent="0.2">
      <c r="A13" s="14" t="s">
        <v>1037</v>
      </c>
      <c r="B13" s="14" t="s">
        <v>1038</v>
      </c>
      <c r="C13" s="15" t="s">
        <v>1045</v>
      </c>
      <c r="D13" s="16" t="s">
        <v>1046</v>
      </c>
      <c r="E13" s="17">
        <v>2</v>
      </c>
      <c r="F13" s="18" t="s">
        <v>56</v>
      </c>
      <c r="G13" s="16" t="s">
        <v>1047</v>
      </c>
      <c r="H13" s="16" t="s">
        <v>1048</v>
      </c>
    </row>
    <row r="14" spans="1:8" ht="30" customHeight="1" x14ac:dyDescent="0.2">
      <c r="A14" s="19" t="s">
        <v>1037</v>
      </c>
      <c r="B14" s="19" t="s">
        <v>1038</v>
      </c>
      <c r="C14" s="20" t="s">
        <v>1049</v>
      </c>
      <c r="D14" s="21" t="s">
        <v>1050</v>
      </c>
      <c r="E14" s="17">
        <v>2</v>
      </c>
      <c r="F14" s="18" t="s">
        <v>45</v>
      </c>
      <c r="G14" s="21" t="s">
        <v>1051</v>
      </c>
      <c r="H14" s="21" t="s">
        <v>1036</v>
      </c>
    </row>
    <row r="15" spans="1:8" ht="18" customHeight="1" x14ac:dyDescent="0.2">
      <c r="A15" s="13" t="s">
        <v>1052</v>
      </c>
      <c r="B15" s="13" t="s">
        <v>1053</v>
      </c>
      <c r="C15" s="13"/>
      <c r="D15" s="13"/>
      <c r="E15" s="13"/>
      <c r="F15" s="13"/>
      <c r="G15" s="13"/>
      <c r="H15" s="13"/>
    </row>
    <row r="16" spans="1:8" ht="30" customHeight="1" x14ac:dyDescent="0.2">
      <c r="A16" s="14" t="s">
        <v>1052</v>
      </c>
      <c r="B16" s="14" t="s">
        <v>1053</v>
      </c>
      <c r="C16" s="15" t="s">
        <v>1054</v>
      </c>
      <c r="D16" s="16" t="s">
        <v>1055</v>
      </c>
      <c r="E16" s="17">
        <v>2</v>
      </c>
      <c r="F16" s="18" t="s">
        <v>45</v>
      </c>
      <c r="G16" s="16" t="s">
        <v>1056</v>
      </c>
      <c r="H16" s="16" t="s">
        <v>926</v>
      </c>
    </row>
    <row r="17" spans="1:8" ht="30" customHeight="1" x14ac:dyDescent="0.2">
      <c r="A17" s="19" t="s">
        <v>1052</v>
      </c>
      <c r="B17" s="19" t="s">
        <v>1053</v>
      </c>
      <c r="C17" s="20" t="s">
        <v>1057</v>
      </c>
      <c r="D17" s="21" t="s">
        <v>1058</v>
      </c>
      <c r="E17" s="17">
        <v>2</v>
      </c>
      <c r="F17" s="18" t="s">
        <v>195</v>
      </c>
      <c r="G17" s="21" t="s">
        <v>1059</v>
      </c>
      <c r="H17" s="21" t="s">
        <v>1018</v>
      </c>
    </row>
    <row r="18" spans="1:8" ht="30" customHeight="1" x14ac:dyDescent="0.2">
      <c r="A18" s="14" t="s">
        <v>1052</v>
      </c>
      <c r="B18" s="14" t="s">
        <v>1053</v>
      </c>
      <c r="C18" s="15" t="s">
        <v>1060</v>
      </c>
      <c r="D18" s="16" t="s">
        <v>1061</v>
      </c>
      <c r="E18" s="17">
        <v>2</v>
      </c>
      <c r="F18" s="18" t="s">
        <v>45</v>
      </c>
      <c r="G18" s="16" t="s">
        <v>1062</v>
      </c>
      <c r="H18" s="16" t="s">
        <v>1063</v>
      </c>
    </row>
    <row r="19" spans="1:8" ht="18" customHeight="1" x14ac:dyDescent="0.2">
      <c r="A19" s="13" t="s">
        <v>1064</v>
      </c>
      <c r="B19" s="13" t="s">
        <v>1065</v>
      </c>
      <c r="C19" s="13"/>
      <c r="D19" s="13"/>
      <c r="E19" s="13"/>
      <c r="F19" s="13"/>
      <c r="G19" s="13"/>
      <c r="H19" s="13"/>
    </row>
    <row r="20" spans="1:8" ht="30" customHeight="1" x14ac:dyDescent="0.2">
      <c r="A20" s="14" t="s">
        <v>1064</v>
      </c>
      <c r="B20" s="14" t="s">
        <v>1065</v>
      </c>
      <c r="C20" s="15" t="s">
        <v>1066</v>
      </c>
      <c r="D20" s="16" t="s">
        <v>1067</v>
      </c>
      <c r="E20" s="17">
        <v>2</v>
      </c>
      <c r="F20" s="18" t="s">
        <v>56</v>
      </c>
      <c r="G20" s="16" t="s">
        <v>1068</v>
      </c>
      <c r="H20" s="16" t="s">
        <v>1036</v>
      </c>
    </row>
    <row r="21" spans="1:8" ht="30" customHeight="1" x14ac:dyDescent="0.2">
      <c r="A21" s="19" t="s">
        <v>1064</v>
      </c>
      <c r="B21" s="19" t="s">
        <v>1065</v>
      </c>
      <c r="C21" s="20" t="s">
        <v>1069</v>
      </c>
      <c r="D21" s="21" t="s">
        <v>1070</v>
      </c>
      <c r="E21" s="17">
        <v>2</v>
      </c>
      <c r="F21" s="18" t="s">
        <v>56</v>
      </c>
      <c r="G21" s="21" t="s">
        <v>1071</v>
      </c>
      <c r="H21" s="21" t="s">
        <v>912</v>
      </c>
    </row>
    <row r="22" spans="1:8" ht="30" customHeight="1" x14ac:dyDescent="0.2">
      <c r="A22" s="14" t="s">
        <v>1064</v>
      </c>
      <c r="B22" s="14" t="s">
        <v>1065</v>
      </c>
      <c r="C22" s="15" t="s">
        <v>1072</v>
      </c>
      <c r="D22" s="16" t="s">
        <v>1073</v>
      </c>
      <c r="E22" s="17">
        <v>2</v>
      </c>
      <c r="F22" s="18" t="s">
        <v>56</v>
      </c>
      <c r="G22" s="16" t="s">
        <v>1074</v>
      </c>
      <c r="H22" s="16" t="s">
        <v>1036</v>
      </c>
    </row>
    <row r="23" spans="1:8" ht="30" customHeight="1" x14ac:dyDescent="0.2">
      <c r="A23" s="19" t="s">
        <v>1064</v>
      </c>
      <c r="B23" s="19" t="s">
        <v>1065</v>
      </c>
      <c r="C23" s="20" t="s">
        <v>1075</v>
      </c>
      <c r="D23" s="21" t="s">
        <v>1076</v>
      </c>
      <c r="E23" s="23">
        <v>3</v>
      </c>
      <c r="F23" s="18" t="s">
        <v>45</v>
      </c>
      <c r="G23" s="21" t="s">
        <v>1077</v>
      </c>
      <c r="H23" s="21" t="s">
        <v>1036</v>
      </c>
    </row>
  </sheetData>
  <conditionalFormatting sqref="F2:F23">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138" zoomScaleNormal="75" workbookViewId="0">
      <pane ySplit="1" topLeftCell="A2" activePane="bottomLeft" state="frozen"/>
      <selection pane="bottomLeft" activeCell="F16" sqref="F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25" customHeight="1" x14ac:dyDescent="0.2">
      <c r="A1" s="12" t="s">
        <v>33</v>
      </c>
      <c r="B1" s="12" t="s">
        <v>34</v>
      </c>
      <c r="C1" s="12" t="s">
        <v>35</v>
      </c>
      <c r="D1" s="12" t="s">
        <v>36</v>
      </c>
      <c r="E1" s="12" t="s">
        <v>37</v>
      </c>
      <c r="F1" s="12" t="s">
        <v>38</v>
      </c>
      <c r="G1" s="12" t="s">
        <v>39</v>
      </c>
      <c r="H1" s="12" t="s">
        <v>40</v>
      </c>
    </row>
    <row r="2" spans="1:8" ht="18" customHeight="1" x14ac:dyDescent="0.2">
      <c r="A2" s="13" t="s">
        <v>1078</v>
      </c>
      <c r="B2" s="13" t="s">
        <v>1079</v>
      </c>
      <c r="C2" s="13"/>
      <c r="D2" s="13"/>
      <c r="E2" s="13"/>
      <c r="F2" s="13"/>
      <c r="G2" s="13"/>
      <c r="H2" s="13"/>
    </row>
    <row r="3" spans="1:8" ht="30" customHeight="1" x14ac:dyDescent="0.2">
      <c r="A3" s="14" t="s">
        <v>1078</v>
      </c>
      <c r="B3" s="14" t="s">
        <v>1079</v>
      </c>
      <c r="C3" s="15" t="s">
        <v>1080</v>
      </c>
      <c r="D3" s="16" t="s">
        <v>1081</v>
      </c>
      <c r="E3" s="17">
        <v>2</v>
      </c>
      <c r="F3" s="18" t="s">
        <v>76</v>
      </c>
      <c r="G3" s="16"/>
      <c r="H3" s="16"/>
    </row>
    <row r="4" spans="1:8" ht="30" customHeight="1" x14ac:dyDescent="0.2">
      <c r="A4" s="19" t="s">
        <v>1078</v>
      </c>
      <c r="B4" s="19" t="s">
        <v>1079</v>
      </c>
      <c r="C4" s="20" t="s">
        <v>1082</v>
      </c>
      <c r="D4" s="21" t="s">
        <v>1083</v>
      </c>
      <c r="E4" s="23">
        <v>3</v>
      </c>
      <c r="F4" s="18" t="s">
        <v>76</v>
      </c>
      <c r="G4" s="21"/>
      <c r="H4" s="21"/>
    </row>
    <row r="5" spans="1:8" ht="18" customHeight="1" x14ac:dyDescent="0.2">
      <c r="A5" s="13" t="s">
        <v>1084</v>
      </c>
      <c r="B5" s="13" t="s">
        <v>1085</v>
      </c>
      <c r="C5" s="13"/>
      <c r="D5" s="13"/>
      <c r="E5" s="13"/>
      <c r="F5" s="13"/>
      <c r="G5" s="13"/>
      <c r="H5" s="13"/>
    </row>
    <row r="6" spans="1:8" ht="30" customHeight="1" x14ac:dyDescent="0.2">
      <c r="A6" s="14" t="s">
        <v>1084</v>
      </c>
      <c r="B6" s="14" t="s">
        <v>1085</v>
      </c>
      <c r="C6" s="15" t="s">
        <v>1086</v>
      </c>
      <c r="D6" s="16" t="s">
        <v>1087</v>
      </c>
      <c r="E6" s="17">
        <v>2</v>
      </c>
      <c r="F6" s="18" t="s">
        <v>76</v>
      </c>
      <c r="G6" s="16"/>
      <c r="H6" s="16"/>
    </row>
    <row r="7" spans="1:8" ht="30" customHeight="1" x14ac:dyDescent="0.2">
      <c r="A7" s="19" t="s">
        <v>1084</v>
      </c>
      <c r="B7" s="19" t="s">
        <v>1085</v>
      </c>
      <c r="C7" s="20" t="s">
        <v>1088</v>
      </c>
      <c r="D7" s="21" t="s">
        <v>1089</v>
      </c>
      <c r="E7" s="17">
        <v>2</v>
      </c>
      <c r="F7" s="18" t="s">
        <v>76</v>
      </c>
      <c r="G7" s="21"/>
      <c r="H7" s="21"/>
    </row>
    <row r="8" spans="1:8" ht="30" customHeight="1" x14ac:dyDescent="0.2">
      <c r="A8" s="14" t="s">
        <v>1084</v>
      </c>
      <c r="B8" s="14" t="s">
        <v>1085</v>
      </c>
      <c r="C8" s="15" t="s">
        <v>1090</v>
      </c>
      <c r="D8" s="16" t="s">
        <v>1091</v>
      </c>
      <c r="E8" s="17">
        <v>2</v>
      </c>
      <c r="F8" s="18" t="s">
        <v>76</v>
      </c>
      <c r="G8" s="16"/>
      <c r="H8" s="16"/>
    </row>
    <row r="9" spans="1:8" ht="30" customHeight="1" x14ac:dyDescent="0.2">
      <c r="A9" s="19" t="s">
        <v>1084</v>
      </c>
      <c r="B9" s="19" t="s">
        <v>1085</v>
      </c>
      <c r="C9" s="20" t="s">
        <v>1092</v>
      </c>
      <c r="D9" s="21" t="s">
        <v>1093</v>
      </c>
      <c r="E9" s="17">
        <v>2</v>
      </c>
      <c r="F9" s="18" t="s">
        <v>76</v>
      </c>
      <c r="G9" s="21"/>
      <c r="H9" s="21"/>
    </row>
    <row r="10" spans="1:8" ht="30" customHeight="1" x14ac:dyDescent="0.2">
      <c r="A10" s="14" t="s">
        <v>1084</v>
      </c>
      <c r="B10" s="14" t="s">
        <v>1085</v>
      </c>
      <c r="C10" s="15" t="s">
        <v>1094</v>
      </c>
      <c r="D10" s="16" t="s">
        <v>1095</v>
      </c>
      <c r="E10" s="23">
        <v>3</v>
      </c>
      <c r="F10" s="18" t="s">
        <v>76</v>
      </c>
      <c r="G10" s="16"/>
      <c r="H10" s="16"/>
    </row>
    <row r="11" spans="1:8" ht="30" customHeight="1" x14ac:dyDescent="0.2">
      <c r="A11" s="19" t="s">
        <v>1084</v>
      </c>
      <c r="B11" s="19" t="s">
        <v>1085</v>
      </c>
      <c r="C11" s="20" t="s">
        <v>1096</v>
      </c>
      <c r="D11" s="21" t="s">
        <v>1097</v>
      </c>
      <c r="E11" s="23">
        <v>3</v>
      </c>
      <c r="F11" s="18" t="s">
        <v>76</v>
      </c>
      <c r="G11" s="21"/>
      <c r="H11" s="21"/>
    </row>
    <row r="12" spans="1:8" ht="30" customHeight="1" x14ac:dyDescent="0.2">
      <c r="A12" s="14" t="s">
        <v>1084</v>
      </c>
      <c r="B12" s="14" t="s">
        <v>1085</v>
      </c>
      <c r="C12" s="15" t="s">
        <v>1098</v>
      </c>
      <c r="D12" s="16" t="s">
        <v>1099</v>
      </c>
      <c r="E12" s="23">
        <v>3</v>
      </c>
      <c r="F12" s="18" t="s">
        <v>76</v>
      </c>
      <c r="G12" s="16"/>
      <c r="H12" s="16"/>
    </row>
    <row r="13" spans="1:8" ht="30" customHeight="1" x14ac:dyDescent="0.2">
      <c r="A13" s="19" t="s">
        <v>1084</v>
      </c>
      <c r="B13" s="19" t="s">
        <v>1085</v>
      </c>
      <c r="C13" s="20" t="s">
        <v>1100</v>
      </c>
      <c r="D13" s="21" t="s">
        <v>1101</v>
      </c>
      <c r="E13" s="23">
        <v>3</v>
      </c>
      <c r="F13" s="18" t="s">
        <v>76</v>
      </c>
      <c r="G13" s="21"/>
      <c r="H13" s="21"/>
    </row>
    <row r="14" spans="1:8" ht="18" customHeight="1" x14ac:dyDescent="0.2">
      <c r="A14" s="13" t="s">
        <v>1102</v>
      </c>
      <c r="B14" s="13" t="s">
        <v>1103</v>
      </c>
      <c r="C14" s="13"/>
      <c r="D14" s="13"/>
      <c r="E14" s="13"/>
      <c r="F14" s="13"/>
      <c r="G14" s="13"/>
      <c r="H14" s="13"/>
    </row>
    <row r="15" spans="1:8" ht="30" customHeight="1" x14ac:dyDescent="0.2">
      <c r="A15" s="14" t="s">
        <v>1102</v>
      </c>
      <c r="B15" s="14" t="s">
        <v>1103</v>
      </c>
      <c r="C15" s="15" t="s">
        <v>1104</v>
      </c>
      <c r="D15" s="16" t="s">
        <v>1105</v>
      </c>
      <c r="E15" s="17">
        <v>2</v>
      </c>
      <c r="F15" s="18" t="s">
        <v>76</v>
      </c>
      <c r="G15" s="16"/>
      <c r="H15" s="16"/>
    </row>
    <row r="16" spans="1:8" ht="30" customHeight="1" x14ac:dyDescent="0.2">
      <c r="A16" s="19" t="s">
        <v>1102</v>
      </c>
      <c r="B16" s="19" t="s">
        <v>1103</v>
      </c>
      <c r="C16" s="20" t="s">
        <v>1106</v>
      </c>
      <c r="D16" s="21" t="s">
        <v>1107</v>
      </c>
      <c r="E16" s="17">
        <v>2</v>
      </c>
      <c r="F16" s="18" t="s">
        <v>76</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Diogo Filipe Queirós Martins</cp:lastModifiedBy>
  <cp:revision>3</cp:revision>
  <dcterms:created xsi:type="dcterms:W3CDTF">2026-03-04T10:14:28Z</dcterms:created>
  <dcterms:modified xsi:type="dcterms:W3CDTF">2026-05-18T19:57:20Z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